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lle\Downloads\TOTAL\"/>
    </mc:Choice>
  </mc:AlternateContent>
  <xr:revisionPtr revIDLastSave="0" documentId="13_ncr:1_{E904CA04-18F6-4FEC-9D03-DDD5D7F586D6}" xr6:coauthVersionLast="47" xr6:coauthVersionMax="47" xr10:uidLastSave="{00000000-0000-0000-0000-000000000000}"/>
  <bookViews>
    <workbookView xWindow="-108" yWindow="-108" windowWidth="23256" windowHeight="12456" activeTab="1" xr2:uid="{2E9C6615-CBA4-4D0E-8E37-5966CF4A4FDB}"/>
  </bookViews>
  <sheets>
    <sheet name="Monthly" sheetId="1" r:id="rId1"/>
    <sheet name="Quarterly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2" l="1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2" i="2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2" i="1"/>
  <c r="D37" i="2"/>
  <c r="D36" i="2"/>
  <c r="D35" i="2"/>
  <c r="D34" i="2"/>
  <c r="D33" i="2"/>
  <c r="D32" i="2"/>
  <c r="D31" i="2"/>
  <c r="D30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  <c r="D2" i="2"/>
  <c r="A109" i="1" l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A2" i="1"/>
  <c r="J84" i="1" l="1"/>
  <c r="I84" i="1"/>
  <c r="I46" i="1"/>
  <c r="J46" i="1"/>
  <c r="I86" i="1"/>
  <c r="J86" i="1"/>
  <c r="I87" i="1"/>
  <c r="J87" i="1"/>
  <c r="J24" i="1"/>
  <c r="I24" i="1"/>
  <c r="I7" i="1"/>
  <c r="J7" i="1"/>
  <c r="J48" i="1"/>
  <c r="I48" i="1"/>
  <c r="I90" i="1"/>
  <c r="J90" i="1"/>
  <c r="I44" i="1"/>
  <c r="J44" i="1"/>
  <c r="J64" i="1"/>
  <c r="I64" i="1"/>
  <c r="J45" i="1"/>
  <c r="I45" i="1"/>
  <c r="J4" i="1"/>
  <c r="I4" i="1"/>
  <c r="I89" i="1"/>
  <c r="J89" i="1"/>
  <c r="I50" i="1"/>
  <c r="J50" i="1"/>
  <c r="I70" i="1"/>
  <c r="J70" i="1"/>
  <c r="I31" i="1"/>
  <c r="J31" i="1"/>
  <c r="I71" i="1"/>
  <c r="J71" i="1"/>
  <c r="J72" i="1"/>
  <c r="I72" i="1"/>
  <c r="J53" i="1"/>
  <c r="I53" i="1"/>
  <c r="J93" i="1"/>
  <c r="I93" i="1"/>
  <c r="J94" i="1"/>
  <c r="I94" i="1"/>
  <c r="J85" i="1"/>
  <c r="I85" i="1"/>
  <c r="J68" i="1"/>
  <c r="I68" i="1"/>
  <c r="I9" i="1"/>
  <c r="J9" i="1"/>
  <c r="I49" i="1"/>
  <c r="J49" i="1"/>
  <c r="I51" i="1"/>
  <c r="J51" i="1"/>
  <c r="J54" i="1"/>
  <c r="I54" i="1"/>
  <c r="J35" i="1"/>
  <c r="I35" i="1"/>
  <c r="J55" i="1"/>
  <c r="I55" i="1"/>
  <c r="J75" i="1"/>
  <c r="I75" i="1"/>
  <c r="J95" i="1"/>
  <c r="I95" i="1"/>
  <c r="I25" i="1"/>
  <c r="J25" i="1"/>
  <c r="I65" i="1"/>
  <c r="J65" i="1"/>
  <c r="I66" i="1"/>
  <c r="J66" i="1"/>
  <c r="J27" i="1"/>
  <c r="I27" i="1"/>
  <c r="I67" i="1"/>
  <c r="J67" i="1"/>
  <c r="I108" i="1"/>
  <c r="J108" i="1"/>
  <c r="I29" i="1"/>
  <c r="J29" i="1"/>
  <c r="I109" i="1"/>
  <c r="J109" i="1"/>
  <c r="J73" i="1"/>
  <c r="I73" i="1"/>
  <c r="J15" i="1"/>
  <c r="I15" i="1"/>
  <c r="I6" i="1"/>
  <c r="J6" i="1"/>
  <c r="I26" i="1"/>
  <c r="J26" i="1"/>
  <c r="J106" i="1"/>
  <c r="I106" i="1"/>
  <c r="J8" i="1"/>
  <c r="I8" i="1"/>
  <c r="I28" i="1"/>
  <c r="J28" i="1"/>
  <c r="J88" i="1"/>
  <c r="I88" i="1"/>
  <c r="J32" i="1"/>
  <c r="I32" i="1"/>
  <c r="J34" i="1"/>
  <c r="I34" i="1"/>
  <c r="J74" i="1"/>
  <c r="I74" i="1"/>
  <c r="J96" i="1"/>
  <c r="I96" i="1"/>
  <c r="I38" i="1"/>
  <c r="J38" i="1"/>
  <c r="J59" i="1"/>
  <c r="I59" i="1"/>
  <c r="I30" i="1"/>
  <c r="J30" i="1"/>
  <c r="I11" i="1"/>
  <c r="J11" i="1"/>
  <c r="I91" i="1"/>
  <c r="J91" i="1"/>
  <c r="J52" i="1"/>
  <c r="I52" i="1"/>
  <c r="J33" i="1"/>
  <c r="I33" i="1"/>
  <c r="J36" i="1"/>
  <c r="I36" i="1"/>
  <c r="I76" i="1"/>
  <c r="J76" i="1"/>
  <c r="J97" i="1"/>
  <c r="I97" i="1"/>
  <c r="I98" i="1"/>
  <c r="J98" i="1"/>
  <c r="I99" i="1"/>
  <c r="J99" i="1"/>
  <c r="I60" i="1"/>
  <c r="J60" i="1"/>
  <c r="I100" i="1"/>
  <c r="J100" i="1"/>
  <c r="J14" i="1"/>
  <c r="I14" i="1"/>
  <c r="I16" i="1"/>
  <c r="J16" i="1"/>
  <c r="J56" i="1"/>
  <c r="I56" i="1"/>
  <c r="I17" i="1"/>
  <c r="J17" i="1"/>
  <c r="I18" i="1"/>
  <c r="J18" i="1"/>
  <c r="J39" i="1"/>
  <c r="I39" i="1"/>
  <c r="I79" i="1"/>
  <c r="J79" i="1"/>
  <c r="J20" i="1"/>
  <c r="I20" i="1"/>
  <c r="I40" i="1"/>
  <c r="J40" i="1"/>
  <c r="I80" i="1"/>
  <c r="J80" i="1"/>
  <c r="I21" i="1"/>
  <c r="J21" i="1"/>
  <c r="I41" i="1"/>
  <c r="J41" i="1"/>
  <c r="I61" i="1"/>
  <c r="J61" i="1"/>
  <c r="I81" i="1"/>
  <c r="J81" i="1"/>
  <c r="I101" i="1"/>
  <c r="J101" i="1"/>
  <c r="J104" i="1"/>
  <c r="I104" i="1"/>
  <c r="J107" i="1"/>
  <c r="I107" i="1"/>
  <c r="I10" i="1"/>
  <c r="J10" i="1"/>
  <c r="I37" i="1"/>
  <c r="J37" i="1"/>
  <c r="J78" i="1"/>
  <c r="I78" i="1"/>
  <c r="I19" i="1"/>
  <c r="J19" i="1"/>
  <c r="J22" i="1"/>
  <c r="I22" i="1"/>
  <c r="J62" i="1"/>
  <c r="I62" i="1"/>
  <c r="J102" i="1"/>
  <c r="I102" i="1"/>
  <c r="I5" i="1"/>
  <c r="J5" i="1"/>
  <c r="I105" i="1"/>
  <c r="J105" i="1"/>
  <c r="I47" i="1"/>
  <c r="J47" i="1"/>
  <c r="I69" i="1"/>
  <c r="J69" i="1"/>
  <c r="J12" i="1"/>
  <c r="I12" i="1"/>
  <c r="J92" i="1"/>
  <c r="I92" i="1"/>
  <c r="J13" i="1"/>
  <c r="I13" i="1"/>
  <c r="I57" i="1"/>
  <c r="J57" i="1"/>
  <c r="J77" i="1"/>
  <c r="I77" i="1"/>
  <c r="J58" i="1"/>
  <c r="I58" i="1"/>
  <c r="I2" i="1"/>
  <c r="J2" i="1"/>
  <c r="J42" i="1"/>
  <c r="I42" i="1"/>
  <c r="J82" i="1"/>
  <c r="I82" i="1"/>
  <c r="J3" i="1"/>
  <c r="I3" i="1"/>
  <c r="J23" i="1"/>
  <c r="I23" i="1"/>
  <c r="J43" i="1"/>
  <c r="I43" i="1"/>
  <c r="J63" i="1"/>
  <c r="I63" i="1"/>
  <c r="J83" i="1"/>
  <c r="I83" i="1"/>
  <c r="J103" i="1"/>
  <c r="I103" i="1"/>
  <c r="H14" i="2" l="1"/>
  <c r="F11" i="2"/>
  <c r="E15" i="2"/>
  <c r="H15" i="2"/>
  <c r="E17" i="2"/>
  <c r="E12" i="2"/>
  <c r="F12" i="2"/>
  <c r="H20" i="2"/>
  <c r="F13" i="2"/>
  <c r="E20" i="2"/>
  <c r="H21" i="2"/>
  <c r="F14" i="2"/>
  <c r="E29" i="2"/>
  <c r="H34" i="2"/>
  <c r="F15" i="2"/>
  <c r="E30" i="2"/>
  <c r="E11" i="2"/>
  <c r="E13" i="2"/>
  <c r="H35" i="2"/>
  <c r="F27" i="2"/>
  <c r="E31" i="2"/>
  <c r="G25" i="2"/>
  <c r="E14" i="2"/>
  <c r="G5" i="2"/>
  <c r="F28" i="2"/>
  <c r="E32" i="2"/>
  <c r="G6" i="2"/>
  <c r="F29" i="2"/>
  <c r="E33" i="2"/>
  <c r="F32" i="2"/>
  <c r="F33" i="2"/>
  <c r="G9" i="2"/>
  <c r="F30" i="2"/>
  <c r="E34" i="2"/>
  <c r="G26" i="2"/>
  <c r="G11" i="2"/>
  <c r="F31" i="2"/>
  <c r="E35" i="2"/>
  <c r="F34" i="2"/>
  <c r="G12" i="2"/>
  <c r="G29" i="2"/>
  <c r="F35" i="2"/>
  <c r="G31" i="2"/>
  <c r="E9" i="2"/>
  <c r="G32" i="2"/>
  <c r="E10" i="2"/>
  <c r="F7" i="2"/>
  <c r="F8" i="2"/>
  <c r="F9" i="2"/>
  <c r="F10" i="2"/>
  <c r="G28" i="2"/>
  <c r="G8" i="2"/>
  <c r="G21" i="2"/>
  <c r="G36" i="2"/>
  <c r="E28" i="2"/>
  <c r="G20" i="2"/>
  <c r="H16" i="2"/>
  <c r="G35" i="2"/>
  <c r="F2" i="2"/>
  <c r="H30" i="2"/>
  <c r="G17" i="2"/>
  <c r="H37" i="2"/>
  <c r="G13" i="2"/>
  <c r="G15" i="2"/>
  <c r="H17" i="2"/>
  <c r="G16" i="2"/>
  <c r="F24" i="2"/>
  <c r="F26" i="2"/>
  <c r="E27" i="2"/>
  <c r="F16" i="2"/>
  <c r="E22" i="2"/>
  <c r="E5" i="2"/>
  <c r="H13" i="2"/>
  <c r="F5" i="2"/>
  <c r="E4" i="2"/>
  <c r="G33" i="2"/>
  <c r="E36" i="2"/>
  <c r="E8" i="2"/>
  <c r="G4" i="2"/>
  <c r="H36" i="2"/>
  <c r="H3" i="2"/>
  <c r="E6" i="2"/>
  <c r="H23" i="2"/>
  <c r="G2" i="2"/>
  <c r="G22" i="2"/>
  <c r="H18" i="2"/>
  <c r="F19" i="2"/>
  <c r="G14" i="2"/>
  <c r="F17" i="2"/>
  <c r="F4" i="2"/>
  <c r="G23" i="2"/>
  <c r="E26" i="2"/>
  <c r="G34" i="2"/>
  <c r="H31" i="2"/>
  <c r="F6" i="2"/>
  <c r="H4" i="2"/>
  <c r="G18" i="2"/>
  <c r="H24" i="2"/>
  <c r="E19" i="2"/>
  <c r="E25" i="2"/>
  <c r="G7" i="2"/>
  <c r="H12" i="2"/>
  <c r="E7" i="2"/>
  <c r="F37" i="2"/>
  <c r="G19" i="2"/>
  <c r="H27" i="2"/>
  <c r="G24" i="2"/>
  <c r="H19" i="2"/>
  <c r="E2" i="2"/>
  <c r="H9" i="2"/>
  <c r="G30" i="2"/>
  <c r="G3" i="2"/>
  <c r="F22" i="2"/>
  <c r="E37" i="2"/>
  <c r="G10" i="2"/>
  <c r="F23" i="2"/>
  <c r="E23" i="2"/>
  <c r="H28" i="2"/>
  <c r="H25" i="2"/>
  <c r="H6" i="2"/>
  <c r="H7" i="2"/>
  <c r="G27" i="2"/>
  <c r="H10" i="2"/>
  <c r="E21" i="2"/>
  <c r="E24" i="2"/>
  <c r="E18" i="2"/>
  <c r="H5" i="2"/>
  <c r="F3" i="2"/>
  <c r="E3" i="2"/>
  <c r="H8" i="2"/>
  <c r="H29" i="2"/>
  <c r="F20" i="2"/>
  <c r="H11" i="2"/>
  <c r="H32" i="2"/>
  <c r="H26" i="2"/>
  <c r="F21" i="2"/>
  <c r="F18" i="2"/>
  <c r="F36" i="2"/>
  <c r="G37" i="2"/>
  <c r="H22" i="2"/>
  <c r="F25" i="2"/>
  <c r="E16" i="2"/>
  <c r="H33" i="2"/>
  <c r="H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tc={71EED580-61D6-4FEE-A1C3-BC6751FB3BF6}</author>
    <author>tc={E5635C71-3C26-442A-9772-ED155EE27B42}</author>
  </authors>
  <commentList>
    <comment ref="J1" authorId="0" shapeId="0" xr:uid="{71EED580-61D6-4FEE-A1C3-BC6751FB3BF6}">
      <text>
        <t>[Threaded comment]
Your version of Excel allows you to read this threaded comment; however, any edits to it will get removed if the file is opened in a newer version of Excel. Learn more: https://go.microsoft.com/fwlink/?linkid=870924
Comment:
    Regulation (EU) 2019/631</t>
      </text>
    </comment>
    <comment ref="K1" authorId="1" shapeId="0" xr:uid="{E5635C71-3C26-442A-9772-ED155EE27B42}">
      <text>
        <t>[Threaded comment]
Your version of Excel allows you to read this threaded comment; however, any edits to it will get removed if the file is opened in a newer version of Excel. Learn more: https://go.microsoft.com/fwlink/?linkid=870924
Comment:
    START: Council Recommendation (EU) 2020/1475
END: Council Recommendation (EU) 2022/2548</t>
      </text>
    </comment>
  </commentList>
</comments>
</file>

<file path=xl/sharedStrings.xml><?xml version="1.0" encoding="utf-8"?>
<sst xmlns="http://schemas.openxmlformats.org/spreadsheetml/2006/main" count="22" uniqueCount="14">
  <si>
    <t>YEAR</t>
  </si>
  <si>
    <t>MONTH</t>
  </si>
  <si>
    <t>DATE</t>
  </si>
  <si>
    <t>HICP_MOTOR_CARS</t>
  </si>
  <si>
    <t>PASSENGER_CAR_REGISTRATIONS</t>
  </si>
  <si>
    <t>INTEREST_RATE_HOUSEHOLD_CONSUMPTION</t>
  </si>
  <si>
    <t>QUARTER_NUM</t>
  </si>
  <si>
    <t>QUARTER_END_DATE</t>
  </si>
  <si>
    <t>QUARTER_YEAR</t>
  </si>
  <si>
    <t>GDP</t>
  </si>
  <si>
    <t>POST_CO2_STANDARDS_2019</t>
  </si>
  <si>
    <t/>
  </si>
  <si>
    <t>MOTOR_VEHICLE_PROD_INDEX_2021</t>
  </si>
  <si>
    <t>TRAVEL_BAN_COVID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</si>
</sst>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yyyy\-mm\-dd;@"/>
    <numFmt numFmtId="170" formatCode="0.0"/>
    <numFmt numFmtId="175" formatCode="0.0000"/>
    <numFmt numFmtId="178" formatCode="_-* #,##0_-;\-* #,##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9">
    <xf numFmtId="0" fontId="0" fillId="0" borderId="0" xfId="0"/>
    <xf numFmtId="164" fontId="0" fillId="0" borderId="0" xfId="0" applyNumberFormat="1"/>
    <xf numFmtId="170" fontId="0" fillId="0" borderId="0" xfId="0" applyNumberFormat="1"/>
    <xf numFmtId="175" fontId="0" fillId="0" borderId="0" xfId="0" applyNumberFormat="1"/>
    <xf numFmtId="178" fontId="0" fillId="0" borderId="0" xfId="1" applyNumberFormat="1" applyFont="1"/>
    <xf numFmtId="0" fontId="2" fillId="0" borderId="0" xfId="0" applyFont="1"/>
    <xf numFmtId="164" fontId="2" fillId="0" borderId="0" xfId="0" applyNumberFormat="1" applyFont="1"/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Miller Guevara" id="{D1D1B374-27D9-4C38-977C-CD881EF6BFB1}" userId="4d4950db5b335820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J1" dT="2025-12-28T17:17:05.08" personId="{D1D1B374-27D9-4C38-977C-CD881EF6BFB1}" id="{71EED580-61D6-4FEE-A1C3-BC6751FB3BF6}">
    <text>Regulation (EU) 2019/631</text>
  </threadedComment>
  <threadedComment ref="K1" dT="2025-12-28T17:25:01.86" personId="{D1D1B374-27D9-4C38-977C-CD881EF6BFB1}" id="{E5635C71-3C26-442A-9772-ED155EE27B42}">
    <text>START: Council Recommendation (EU) 2020/1475
END: Council Recommendation (EU) 2022/2548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39EDB-A470-4A50-B597-88652F3898B9}">
  <dimension ref="A1:J110"/>
  <sheetViews>
    <sheetView workbookViewId="0">
      <selection activeCell="F7" sqref="F7"/>
    </sheetView>
  </sheetViews>
  <sheetFormatPr defaultRowHeight="14.4" x14ac:dyDescent="0.3"/>
  <cols>
    <col min="1" max="1" width="5.33203125" bestFit="1" customWidth="1"/>
    <col min="2" max="2" width="7.6640625" bestFit="1" customWidth="1"/>
    <col min="3" max="3" width="10.33203125" style="1" bestFit="1" customWidth="1"/>
    <col min="4" max="4" width="30.44140625" bestFit="1" customWidth="1"/>
    <col min="5" max="5" width="33.109375" bestFit="1" customWidth="1"/>
    <col min="6" max="6" width="18.21875" bestFit="1" customWidth="1"/>
    <col min="7" max="7" width="40.88671875" bestFit="1" customWidth="1"/>
    <col min="8" max="8" width="14.6640625" bestFit="1" customWidth="1"/>
    <col min="9" max="9" width="14.5546875" bestFit="1" customWidth="1"/>
    <col min="10" max="10" width="19.33203125" bestFit="1" customWidth="1"/>
  </cols>
  <sheetData>
    <row r="1" spans="1:10" x14ac:dyDescent="0.3">
      <c r="A1" s="5" t="s">
        <v>0</v>
      </c>
      <c r="B1" s="5" t="s">
        <v>1</v>
      </c>
      <c r="C1" s="6" t="s">
        <v>2</v>
      </c>
      <c r="D1" s="5" t="s">
        <v>4</v>
      </c>
      <c r="E1" s="5" t="s">
        <v>12</v>
      </c>
      <c r="F1" s="5" t="s">
        <v>3</v>
      </c>
      <c r="G1" s="5" t="s">
        <v>5</v>
      </c>
      <c r="H1" s="5" t="s">
        <v>6</v>
      </c>
      <c r="I1" s="5" t="s">
        <v>8</v>
      </c>
      <c r="J1" s="5" t="s">
        <v>7</v>
      </c>
    </row>
    <row r="2" spans="1:10" x14ac:dyDescent="0.3">
      <c r="A2">
        <f t="shared" ref="A2:A65" si="0">+YEAR(C2)</f>
        <v>2016</v>
      </c>
      <c r="B2">
        <f>+_xlfn.NUMBERVALUE(MONTH(C2))</f>
        <v>1</v>
      </c>
      <c r="C2" s="1">
        <v>42400</v>
      </c>
      <c r="D2">
        <v>791536</v>
      </c>
      <c r="E2">
        <v>122.4</v>
      </c>
      <c r="F2">
        <v>100.35</v>
      </c>
      <c r="G2">
        <v>6.15</v>
      </c>
      <c r="H2">
        <v>1</v>
      </c>
      <c r="I2" t="str">
        <f>+A2&amp;"Q"&amp;H2</f>
        <v>2016Q1</v>
      </c>
      <c r="J2" s="1">
        <f>+EOMONTH(DATE(A2,3,1),0)</f>
        <v>42460</v>
      </c>
    </row>
    <row r="3" spans="1:10" x14ac:dyDescent="0.3">
      <c r="A3">
        <f t="shared" si="0"/>
        <v>2016</v>
      </c>
      <c r="B3">
        <f t="shared" ref="B3:B66" si="1">+_xlfn.NUMBERVALUE(MONTH(C3))</f>
        <v>2</v>
      </c>
      <c r="C3" s="1">
        <v>42429</v>
      </c>
      <c r="D3">
        <v>864048</v>
      </c>
      <c r="E3">
        <v>135.6</v>
      </c>
      <c r="F3">
        <v>100.35</v>
      </c>
      <c r="G3">
        <v>5.97</v>
      </c>
      <c r="H3">
        <v>1</v>
      </c>
      <c r="I3" t="str">
        <f>+A3&amp;"Q"&amp;H3</f>
        <v>2016Q1</v>
      </c>
      <c r="J3" s="1">
        <f>+EOMONTH(DATE(A3,3,1),0)</f>
        <v>42460</v>
      </c>
    </row>
    <row r="4" spans="1:10" x14ac:dyDescent="0.3">
      <c r="A4">
        <f t="shared" si="0"/>
        <v>2016</v>
      </c>
      <c r="B4">
        <f t="shared" si="1"/>
        <v>3</v>
      </c>
      <c r="C4" s="1">
        <v>42460</v>
      </c>
      <c r="D4">
        <v>1050602</v>
      </c>
      <c r="E4">
        <v>146.5</v>
      </c>
      <c r="F4">
        <v>100.49</v>
      </c>
      <c r="G4">
        <v>5.86</v>
      </c>
      <c r="H4">
        <v>1</v>
      </c>
      <c r="I4" t="str">
        <f>+A4&amp;"Q"&amp;H4</f>
        <v>2016Q1</v>
      </c>
      <c r="J4" s="1">
        <f>+EOMONTH(DATE(A4,3,1),0)</f>
        <v>42460</v>
      </c>
    </row>
    <row r="5" spans="1:10" x14ac:dyDescent="0.3">
      <c r="A5">
        <f t="shared" si="0"/>
        <v>2016</v>
      </c>
      <c r="B5">
        <f t="shared" si="1"/>
        <v>4</v>
      </c>
      <c r="C5" s="1">
        <v>42490</v>
      </c>
      <c r="D5">
        <v>957676</v>
      </c>
      <c r="E5">
        <v>139.5</v>
      </c>
      <c r="F5">
        <v>100.29</v>
      </c>
      <c r="G5">
        <v>5.9</v>
      </c>
      <c r="H5">
        <v>2</v>
      </c>
      <c r="I5" t="str">
        <f>+A5&amp;"Q"&amp;H5</f>
        <v>2016Q2</v>
      </c>
      <c r="J5" s="1">
        <f>+EOMONTH(DATE(A5,6,1),0)</f>
        <v>42551</v>
      </c>
    </row>
    <row r="6" spans="1:10" x14ac:dyDescent="0.3">
      <c r="A6">
        <f t="shared" si="0"/>
        <v>2016</v>
      </c>
      <c r="B6">
        <f t="shared" si="1"/>
        <v>5</v>
      </c>
      <c r="C6" s="1">
        <v>42521</v>
      </c>
      <c r="D6">
        <v>955271</v>
      </c>
      <c r="E6">
        <v>128.80000000000001</v>
      </c>
      <c r="F6">
        <v>100.25</v>
      </c>
      <c r="G6">
        <v>5.98</v>
      </c>
      <c r="H6">
        <v>2</v>
      </c>
      <c r="I6" t="str">
        <f>+A6&amp;"Q"&amp;H6</f>
        <v>2016Q2</v>
      </c>
      <c r="J6" s="1">
        <f>+EOMONTH(DATE(A6,6,1),0)</f>
        <v>42551</v>
      </c>
    </row>
    <row r="7" spans="1:10" x14ac:dyDescent="0.3">
      <c r="A7">
        <f t="shared" si="0"/>
        <v>2016</v>
      </c>
      <c r="B7">
        <f t="shared" si="1"/>
        <v>6</v>
      </c>
      <c r="C7" s="1">
        <v>42551</v>
      </c>
      <c r="D7">
        <v>1062822</v>
      </c>
      <c r="E7">
        <v>139.6</v>
      </c>
      <c r="F7">
        <v>100.22</v>
      </c>
      <c r="G7">
        <v>5.75</v>
      </c>
      <c r="H7">
        <v>2</v>
      </c>
      <c r="I7" t="str">
        <f>+A7&amp;"Q"&amp;H7</f>
        <v>2016Q2</v>
      </c>
      <c r="J7" s="1">
        <f>+EOMONTH(DATE(A7,6,1),0)</f>
        <v>42551</v>
      </c>
    </row>
    <row r="8" spans="1:10" x14ac:dyDescent="0.3">
      <c r="A8">
        <f t="shared" si="0"/>
        <v>2016</v>
      </c>
      <c r="B8">
        <f t="shared" si="1"/>
        <v>7</v>
      </c>
      <c r="C8" s="1">
        <v>42582</v>
      </c>
      <c r="D8">
        <v>835146</v>
      </c>
      <c r="E8">
        <v>130</v>
      </c>
      <c r="F8">
        <v>100.22</v>
      </c>
      <c r="G8">
        <v>5.86</v>
      </c>
      <c r="H8">
        <v>3</v>
      </c>
      <c r="I8" t="str">
        <f>+A8&amp;"Q"&amp;H8</f>
        <v>2016Q3</v>
      </c>
      <c r="J8" s="1">
        <f>+EOMONTH(DATE(A8,9,1),0)</f>
        <v>42643</v>
      </c>
    </row>
    <row r="9" spans="1:10" x14ac:dyDescent="0.3">
      <c r="A9">
        <f t="shared" si="0"/>
        <v>2016</v>
      </c>
      <c r="B9">
        <f t="shared" si="1"/>
        <v>8</v>
      </c>
      <c r="C9" s="1">
        <v>42613</v>
      </c>
      <c r="D9">
        <v>621788</v>
      </c>
      <c r="E9">
        <v>100.7</v>
      </c>
      <c r="F9">
        <v>100.21</v>
      </c>
      <c r="G9">
        <v>5.93</v>
      </c>
      <c r="H9">
        <v>3</v>
      </c>
      <c r="I9" t="str">
        <f>+A9&amp;"Q"&amp;H9</f>
        <v>2016Q3</v>
      </c>
      <c r="J9" s="1">
        <f>+EOMONTH(DATE(A9,9,1),0)</f>
        <v>42643</v>
      </c>
    </row>
    <row r="10" spans="1:10" x14ac:dyDescent="0.3">
      <c r="A10">
        <f t="shared" si="0"/>
        <v>2016</v>
      </c>
      <c r="B10">
        <f t="shared" si="1"/>
        <v>9</v>
      </c>
      <c r="C10" s="1">
        <v>42643</v>
      </c>
      <c r="D10">
        <v>862973</v>
      </c>
      <c r="E10">
        <v>141.30000000000001</v>
      </c>
      <c r="F10">
        <v>100.28</v>
      </c>
      <c r="G10">
        <v>5.67</v>
      </c>
      <c r="H10">
        <v>3</v>
      </c>
      <c r="I10" t="str">
        <f>+A10&amp;"Q"&amp;H10</f>
        <v>2016Q3</v>
      </c>
      <c r="J10" s="1">
        <f>+EOMONTH(DATE(A10,9,1),0)</f>
        <v>42643</v>
      </c>
    </row>
    <row r="11" spans="1:10" x14ac:dyDescent="0.3">
      <c r="A11">
        <f t="shared" si="0"/>
        <v>2016</v>
      </c>
      <c r="B11">
        <f t="shared" si="1"/>
        <v>10</v>
      </c>
      <c r="C11" s="1">
        <v>42674</v>
      </c>
      <c r="D11">
        <v>803093</v>
      </c>
      <c r="E11">
        <v>141.6</v>
      </c>
      <c r="F11">
        <v>100.27</v>
      </c>
      <c r="G11">
        <v>5.61</v>
      </c>
      <c r="H11">
        <v>4</v>
      </c>
      <c r="I11" t="str">
        <f>+A11&amp;"Q"&amp;H11</f>
        <v>2016Q4</v>
      </c>
      <c r="J11" s="1">
        <f>+EOMONTH(DATE(A11,12,1),0)</f>
        <v>42735</v>
      </c>
    </row>
    <row r="12" spans="1:10" x14ac:dyDescent="0.3">
      <c r="A12">
        <f t="shared" si="0"/>
        <v>2016</v>
      </c>
      <c r="B12">
        <f t="shared" si="1"/>
        <v>11</v>
      </c>
      <c r="C12" s="1">
        <v>42704</v>
      </c>
      <c r="D12">
        <v>833682</v>
      </c>
      <c r="E12">
        <v>140</v>
      </c>
      <c r="F12">
        <v>100.27</v>
      </c>
      <c r="G12">
        <v>5.62</v>
      </c>
      <c r="H12">
        <v>4</v>
      </c>
      <c r="I12" t="str">
        <f>+A12&amp;"Q"&amp;H12</f>
        <v>2016Q4</v>
      </c>
      <c r="J12" s="1">
        <f>+EOMONTH(DATE(A12,12,1),0)</f>
        <v>42735</v>
      </c>
    </row>
    <row r="13" spans="1:10" x14ac:dyDescent="0.3">
      <c r="A13">
        <f t="shared" si="0"/>
        <v>2016</v>
      </c>
      <c r="B13">
        <f t="shared" si="1"/>
        <v>12</v>
      </c>
      <c r="C13" s="1">
        <v>42735</v>
      </c>
      <c r="D13">
        <v>821131</v>
      </c>
      <c r="E13">
        <v>100.6</v>
      </c>
      <c r="F13">
        <v>100.23</v>
      </c>
      <c r="G13">
        <v>5.38</v>
      </c>
      <c r="H13">
        <v>4</v>
      </c>
      <c r="I13" t="str">
        <f>+A13&amp;"Q"&amp;H13</f>
        <v>2016Q4</v>
      </c>
      <c r="J13" s="1">
        <f>+EOMONTH(DATE(A13,12,1),0)</f>
        <v>42735</v>
      </c>
    </row>
    <row r="14" spans="1:10" x14ac:dyDescent="0.3">
      <c r="A14">
        <f t="shared" si="0"/>
        <v>2017</v>
      </c>
      <c r="B14">
        <f t="shared" si="1"/>
        <v>1</v>
      </c>
      <c r="C14" s="1">
        <v>42766</v>
      </c>
      <c r="D14">
        <v>878700</v>
      </c>
      <c r="E14">
        <v>120.3</v>
      </c>
      <c r="F14">
        <v>100.65</v>
      </c>
      <c r="G14">
        <v>5.77</v>
      </c>
      <c r="H14">
        <v>1</v>
      </c>
      <c r="I14" t="str">
        <f>+A14&amp;"Q"&amp;H14</f>
        <v>2017Q1</v>
      </c>
      <c r="J14" s="1">
        <f>+EOMONTH(DATE(A14,3,1),0)</f>
        <v>42825</v>
      </c>
    </row>
    <row r="15" spans="1:10" x14ac:dyDescent="0.3">
      <c r="A15">
        <f t="shared" si="0"/>
        <v>2017</v>
      </c>
      <c r="B15">
        <f t="shared" si="1"/>
        <v>2</v>
      </c>
      <c r="C15" s="1">
        <v>42794</v>
      </c>
      <c r="D15">
        <v>873256</v>
      </c>
      <c r="E15">
        <v>135</v>
      </c>
      <c r="F15">
        <v>100.86</v>
      </c>
      <c r="G15">
        <v>5.65</v>
      </c>
      <c r="H15">
        <v>1</v>
      </c>
      <c r="I15" t="str">
        <f>+A15&amp;"Q"&amp;H15</f>
        <v>2017Q1</v>
      </c>
      <c r="J15" s="1">
        <f>+EOMONTH(DATE(A15,3,1),0)</f>
        <v>42825</v>
      </c>
    </row>
    <row r="16" spans="1:10" x14ac:dyDescent="0.3">
      <c r="A16">
        <f t="shared" si="0"/>
        <v>2017</v>
      </c>
      <c r="B16">
        <f t="shared" si="1"/>
        <v>3</v>
      </c>
      <c r="C16" s="1">
        <v>42825</v>
      </c>
      <c r="D16">
        <v>1172456</v>
      </c>
      <c r="E16">
        <v>148</v>
      </c>
      <c r="F16">
        <v>100.9</v>
      </c>
      <c r="G16">
        <v>5.55</v>
      </c>
      <c r="H16">
        <v>1</v>
      </c>
      <c r="I16" t="str">
        <f>+A16&amp;"Q"&amp;H16</f>
        <v>2017Q1</v>
      </c>
      <c r="J16" s="1">
        <f>+EOMONTH(DATE(A16,3,1),0)</f>
        <v>42825</v>
      </c>
    </row>
    <row r="17" spans="1:10" x14ac:dyDescent="0.3">
      <c r="A17">
        <f t="shared" si="0"/>
        <v>2017</v>
      </c>
      <c r="B17">
        <f t="shared" si="1"/>
        <v>4</v>
      </c>
      <c r="C17" s="1">
        <v>42855</v>
      </c>
      <c r="D17">
        <v>911307</v>
      </c>
      <c r="E17">
        <v>134.30000000000001</v>
      </c>
      <c r="F17">
        <v>100.95</v>
      </c>
      <c r="G17">
        <v>5.49</v>
      </c>
      <c r="H17">
        <v>2</v>
      </c>
      <c r="I17" t="str">
        <f>+A17&amp;"Q"&amp;H17</f>
        <v>2017Q2</v>
      </c>
      <c r="J17" s="1">
        <f>+EOMONTH(DATE(A17,6,1),0)</f>
        <v>42916</v>
      </c>
    </row>
    <row r="18" spans="1:10" x14ac:dyDescent="0.3">
      <c r="A18">
        <f t="shared" si="0"/>
        <v>2017</v>
      </c>
      <c r="B18">
        <f t="shared" si="1"/>
        <v>5</v>
      </c>
      <c r="C18" s="1">
        <v>42886</v>
      </c>
      <c r="D18">
        <v>1055359</v>
      </c>
      <c r="E18">
        <v>136.6</v>
      </c>
      <c r="F18">
        <v>100.93</v>
      </c>
      <c r="G18">
        <v>5.7</v>
      </c>
      <c r="H18">
        <v>2</v>
      </c>
      <c r="I18" t="str">
        <f>+A18&amp;"Q"&amp;H18</f>
        <v>2017Q2</v>
      </c>
      <c r="J18" s="1">
        <f>+EOMONTH(DATE(A18,6,1),0)</f>
        <v>42916</v>
      </c>
    </row>
    <row r="19" spans="1:10" x14ac:dyDescent="0.3">
      <c r="A19">
        <f t="shared" si="0"/>
        <v>2017</v>
      </c>
      <c r="B19">
        <f t="shared" si="1"/>
        <v>6</v>
      </c>
      <c r="C19" s="1">
        <v>42916</v>
      </c>
      <c r="D19">
        <v>1095090</v>
      </c>
      <c r="E19">
        <v>138</v>
      </c>
      <c r="F19">
        <v>100.83</v>
      </c>
      <c r="G19">
        <v>5.62</v>
      </c>
      <c r="H19">
        <v>2</v>
      </c>
      <c r="I19" t="str">
        <f>+A19&amp;"Q"&amp;H19</f>
        <v>2017Q2</v>
      </c>
      <c r="J19" s="1">
        <f>+EOMONTH(DATE(A19,6,1),0)</f>
        <v>42916</v>
      </c>
    </row>
    <row r="20" spans="1:10" x14ac:dyDescent="0.3">
      <c r="A20">
        <f t="shared" si="0"/>
        <v>2017</v>
      </c>
      <c r="B20">
        <f t="shared" si="1"/>
        <v>7</v>
      </c>
      <c r="C20" s="1">
        <v>42947</v>
      </c>
      <c r="D20">
        <v>873937</v>
      </c>
      <c r="E20">
        <v>132.80000000000001</v>
      </c>
      <c r="F20">
        <v>100.94</v>
      </c>
      <c r="G20">
        <v>5.74</v>
      </c>
      <c r="H20">
        <v>3</v>
      </c>
      <c r="I20" t="str">
        <f>+A20&amp;"Q"&amp;H20</f>
        <v>2017Q3</v>
      </c>
      <c r="J20" s="1">
        <f>+EOMONTH(DATE(A20,9,1),0)</f>
        <v>43008</v>
      </c>
    </row>
    <row r="21" spans="1:10" x14ac:dyDescent="0.3">
      <c r="A21">
        <f t="shared" si="0"/>
        <v>2017</v>
      </c>
      <c r="B21">
        <f t="shared" si="1"/>
        <v>8</v>
      </c>
      <c r="C21" s="1">
        <v>42978</v>
      </c>
      <c r="D21">
        <v>664156</v>
      </c>
      <c r="E21">
        <v>107.3</v>
      </c>
      <c r="F21">
        <v>101</v>
      </c>
      <c r="G21">
        <v>5.82</v>
      </c>
      <c r="H21">
        <v>3</v>
      </c>
      <c r="I21" t="str">
        <f>+A21&amp;"Q"&amp;H21</f>
        <v>2017Q3</v>
      </c>
      <c r="J21" s="1">
        <f>+EOMONTH(DATE(A21,9,1),0)</f>
        <v>43008</v>
      </c>
    </row>
    <row r="22" spans="1:10" x14ac:dyDescent="0.3">
      <c r="A22">
        <f t="shared" si="0"/>
        <v>2017</v>
      </c>
      <c r="B22">
        <f t="shared" si="1"/>
        <v>9</v>
      </c>
      <c r="C22" s="1">
        <v>43008</v>
      </c>
      <c r="D22">
        <v>874901</v>
      </c>
      <c r="E22">
        <v>147.69999999999999</v>
      </c>
      <c r="F22">
        <v>101.06</v>
      </c>
      <c r="G22">
        <v>5.64</v>
      </c>
      <c r="H22">
        <v>3</v>
      </c>
      <c r="I22" t="str">
        <f>+A22&amp;"Q"&amp;H22</f>
        <v>2017Q3</v>
      </c>
      <c r="J22" s="1">
        <f>+EOMONTH(DATE(A22,9,1),0)</f>
        <v>43008</v>
      </c>
    </row>
    <row r="23" spans="1:10" x14ac:dyDescent="0.3">
      <c r="A23">
        <f t="shared" si="0"/>
        <v>2017</v>
      </c>
      <c r="B23">
        <f t="shared" si="1"/>
        <v>10</v>
      </c>
      <c r="C23" s="1">
        <v>43039</v>
      </c>
      <c r="D23">
        <v>873496</v>
      </c>
      <c r="E23">
        <v>141.19999999999999</v>
      </c>
      <c r="F23">
        <v>101.1</v>
      </c>
      <c r="G23">
        <v>5.6</v>
      </c>
      <c r="H23">
        <v>4</v>
      </c>
      <c r="I23" t="str">
        <f>+A23&amp;"Q"&amp;H23</f>
        <v>2017Q4</v>
      </c>
      <c r="J23" s="1">
        <f>+EOMONTH(DATE(A23,12,1),0)</f>
        <v>43100</v>
      </c>
    </row>
    <row r="24" spans="1:10" x14ac:dyDescent="0.3">
      <c r="A24">
        <f t="shared" si="0"/>
        <v>2017</v>
      </c>
      <c r="B24">
        <f t="shared" si="1"/>
        <v>11</v>
      </c>
      <c r="C24" s="1">
        <v>43069</v>
      </c>
      <c r="D24">
        <v>914144</v>
      </c>
      <c r="E24">
        <v>152.69999999999999</v>
      </c>
      <c r="F24">
        <v>101.25</v>
      </c>
      <c r="G24">
        <v>5.57</v>
      </c>
      <c r="H24">
        <v>4</v>
      </c>
      <c r="I24" t="str">
        <f>+A24&amp;"Q"&amp;H24</f>
        <v>2017Q4</v>
      </c>
      <c r="J24" s="1">
        <f>+EOMONTH(DATE(A24,12,1),0)</f>
        <v>43100</v>
      </c>
    </row>
    <row r="25" spans="1:10" x14ac:dyDescent="0.3">
      <c r="A25">
        <f t="shared" si="0"/>
        <v>2017</v>
      </c>
      <c r="B25">
        <f t="shared" si="1"/>
        <v>12</v>
      </c>
      <c r="C25" s="1">
        <v>43100</v>
      </c>
      <c r="D25">
        <v>796098</v>
      </c>
      <c r="E25">
        <v>109.3</v>
      </c>
      <c r="F25">
        <v>101.28</v>
      </c>
      <c r="G25">
        <v>5.26</v>
      </c>
      <c r="H25">
        <v>4</v>
      </c>
      <c r="I25" t="str">
        <f>+A25&amp;"Q"&amp;H25</f>
        <v>2017Q4</v>
      </c>
      <c r="J25" s="1">
        <f>+EOMONTH(DATE(A25,12,1),0)</f>
        <v>43100</v>
      </c>
    </row>
    <row r="26" spans="1:10" x14ac:dyDescent="0.3">
      <c r="A26">
        <f t="shared" si="0"/>
        <v>2018</v>
      </c>
      <c r="B26">
        <f t="shared" si="1"/>
        <v>1</v>
      </c>
      <c r="C26" s="1">
        <v>43131</v>
      </c>
      <c r="D26">
        <v>954680</v>
      </c>
      <c r="E26">
        <v>127.8</v>
      </c>
      <c r="F26">
        <v>101.51</v>
      </c>
      <c r="G26">
        <v>5.74</v>
      </c>
      <c r="H26">
        <v>1</v>
      </c>
      <c r="I26" t="str">
        <f>+A26&amp;"Q"&amp;H26</f>
        <v>2018Q1</v>
      </c>
      <c r="J26" s="1">
        <f>+EOMONTH(DATE(A26,3,1),0)</f>
        <v>43190</v>
      </c>
    </row>
    <row r="27" spans="1:10" x14ac:dyDescent="0.3">
      <c r="A27">
        <f t="shared" si="0"/>
        <v>2018</v>
      </c>
      <c r="B27">
        <f t="shared" si="1"/>
        <v>2</v>
      </c>
      <c r="C27" s="1">
        <v>43159</v>
      </c>
      <c r="D27">
        <v>916540</v>
      </c>
      <c r="E27">
        <v>135.4</v>
      </c>
      <c r="F27">
        <v>101.62</v>
      </c>
      <c r="G27">
        <v>5.59</v>
      </c>
      <c r="H27">
        <v>1</v>
      </c>
      <c r="I27" t="str">
        <f>+A27&amp;"Q"&amp;H27</f>
        <v>2018Q1</v>
      </c>
      <c r="J27" s="1">
        <f>+EOMONTH(DATE(A27,3,1),0)</f>
        <v>43190</v>
      </c>
    </row>
    <row r="28" spans="1:10" x14ac:dyDescent="0.3">
      <c r="A28">
        <f t="shared" si="0"/>
        <v>2018</v>
      </c>
      <c r="B28">
        <f t="shared" si="1"/>
        <v>3</v>
      </c>
      <c r="C28" s="1">
        <v>43190</v>
      </c>
      <c r="D28">
        <v>1161539</v>
      </c>
      <c r="E28">
        <v>156.30000000000001</v>
      </c>
      <c r="F28">
        <v>101.82</v>
      </c>
      <c r="G28">
        <v>5.47</v>
      </c>
      <c r="H28">
        <v>1</v>
      </c>
      <c r="I28" t="str">
        <f>+A28&amp;"Q"&amp;H28</f>
        <v>2018Q1</v>
      </c>
      <c r="J28" s="1">
        <f>+EOMONTH(DATE(A28,3,1),0)</f>
        <v>43190</v>
      </c>
    </row>
    <row r="29" spans="1:10" x14ac:dyDescent="0.3">
      <c r="A29">
        <f t="shared" si="0"/>
        <v>2018</v>
      </c>
      <c r="B29">
        <f t="shared" si="1"/>
        <v>4</v>
      </c>
      <c r="C29" s="1">
        <v>43220</v>
      </c>
      <c r="D29">
        <v>996616</v>
      </c>
      <c r="E29">
        <v>141.5</v>
      </c>
      <c r="F29">
        <v>101.95</v>
      </c>
      <c r="G29">
        <v>5.6</v>
      </c>
      <c r="H29">
        <v>2</v>
      </c>
      <c r="I29" t="str">
        <f>+A29&amp;"Q"&amp;H29</f>
        <v>2018Q2</v>
      </c>
      <c r="J29" s="1">
        <f>+EOMONTH(DATE(A29,6,1),0)</f>
        <v>43281</v>
      </c>
    </row>
    <row r="30" spans="1:10" x14ac:dyDescent="0.3">
      <c r="A30">
        <f t="shared" si="0"/>
        <v>2018</v>
      </c>
      <c r="B30">
        <f t="shared" si="1"/>
        <v>5</v>
      </c>
      <c r="C30" s="1">
        <v>43251</v>
      </c>
      <c r="D30">
        <v>1050604</v>
      </c>
      <c r="E30">
        <v>138.9</v>
      </c>
      <c r="F30">
        <v>102.23</v>
      </c>
      <c r="G30">
        <v>5.77</v>
      </c>
      <c r="H30">
        <v>2</v>
      </c>
      <c r="I30" t="str">
        <f>+A30&amp;"Q"&amp;H30</f>
        <v>2018Q2</v>
      </c>
      <c r="J30" s="1">
        <f>+EOMONTH(DATE(A30,6,1),0)</f>
        <v>43281</v>
      </c>
    </row>
    <row r="31" spans="1:10" x14ac:dyDescent="0.3">
      <c r="A31">
        <f t="shared" si="0"/>
        <v>2018</v>
      </c>
      <c r="B31">
        <f t="shared" si="1"/>
        <v>6</v>
      </c>
      <c r="C31" s="1">
        <v>43281</v>
      </c>
      <c r="D31">
        <v>1143602</v>
      </c>
      <c r="E31">
        <v>144</v>
      </c>
      <c r="F31">
        <v>102.27</v>
      </c>
      <c r="G31">
        <v>5.51</v>
      </c>
      <c r="H31">
        <v>2</v>
      </c>
      <c r="I31" t="str">
        <f>+A31&amp;"Q"&amp;H31</f>
        <v>2018Q2</v>
      </c>
      <c r="J31" s="1">
        <f>+EOMONTH(DATE(A31,6,1),0)</f>
        <v>43281</v>
      </c>
    </row>
    <row r="32" spans="1:10" x14ac:dyDescent="0.3">
      <c r="A32">
        <f t="shared" si="0"/>
        <v>2018</v>
      </c>
      <c r="B32">
        <f t="shared" si="1"/>
        <v>7</v>
      </c>
      <c r="C32" s="1">
        <v>43312</v>
      </c>
      <c r="D32">
        <v>986437</v>
      </c>
      <c r="E32">
        <v>129.4</v>
      </c>
      <c r="F32">
        <v>102.41</v>
      </c>
      <c r="G32">
        <v>5.65</v>
      </c>
      <c r="H32">
        <v>3</v>
      </c>
      <c r="I32" t="str">
        <f>+A32&amp;"Q"&amp;H32</f>
        <v>2018Q3</v>
      </c>
      <c r="J32" s="1">
        <f>+EOMONTH(DATE(A32,9,1),0)</f>
        <v>43373</v>
      </c>
    </row>
    <row r="33" spans="1:10" x14ac:dyDescent="0.3">
      <c r="A33">
        <f t="shared" si="0"/>
        <v>2018</v>
      </c>
      <c r="B33">
        <f t="shared" si="1"/>
        <v>8</v>
      </c>
      <c r="C33" s="1">
        <v>43343</v>
      </c>
      <c r="D33">
        <v>868770</v>
      </c>
      <c r="E33">
        <v>94.7</v>
      </c>
      <c r="F33">
        <v>102.52</v>
      </c>
      <c r="G33">
        <v>5.83</v>
      </c>
      <c r="H33">
        <v>3</v>
      </c>
      <c r="I33" t="str">
        <f>+A33&amp;"Q"&amp;H33</f>
        <v>2018Q3</v>
      </c>
      <c r="J33" s="1">
        <f>+EOMONTH(DATE(A33,9,1),0)</f>
        <v>43373</v>
      </c>
    </row>
    <row r="34" spans="1:10" x14ac:dyDescent="0.3">
      <c r="A34">
        <f t="shared" si="0"/>
        <v>2018</v>
      </c>
      <c r="B34">
        <f t="shared" si="1"/>
        <v>9</v>
      </c>
      <c r="C34" s="1">
        <v>43373</v>
      </c>
      <c r="D34">
        <v>665121</v>
      </c>
      <c r="E34">
        <v>137.5</v>
      </c>
      <c r="F34">
        <v>102.65</v>
      </c>
      <c r="G34">
        <v>5.69</v>
      </c>
      <c r="H34">
        <v>3</v>
      </c>
      <c r="I34" t="str">
        <f>+A34&amp;"Q"&amp;H34</f>
        <v>2018Q3</v>
      </c>
      <c r="J34" s="1">
        <f>+EOMONTH(DATE(A34,9,1),0)</f>
        <v>43373</v>
      </c>
    </row>
    <row r="35" spans="1:10" x14ac:dyDescent="0.3">
      <c r="A35">
        <f t="shared" si="0"/>
        <v>2018</v>
      </c>
      <c r="B35">
        <f t="shared" si="1"/>
        <v>10</v>
      </c>
      <c r="C35" s="1">
        <v>43404</v>
      </c>
      <c r="D35">
        <v>810505</v>
      </c>
      <c r="E35">
        <v>136.19999999999999</v>
      </c>
      <c r="F35">
        <v>102.76</v>
      </c>
      <c r="G35">
        <v>5.64</v>
      </c>
      <c r="H35">
        <v>4</v>
      </c>
      <c r="I35" t="str">
        <f>+A35&amp;"Q"&amp;H35</f>
        <v>2018Q4</v>
      </c>
      <c r="J35" s="1">
        <f>+EOMONTH(DATE(A35,12,1),0)</f>
        <v>43465</v>
      </c>
    </row>
    <row r="36" spans="1:10" x14ac:dyDescent="0.3">
      <c r="A36">
        <f t="shared" si="0"/>
        <v>2018</v>
      </c>
      <c r="B36">
        <f t="shared" si="1"/>
        <v>11</v>
      </c>
      <c r="C36" s="1">
        <v>43434</v>
      </c>
      <c r="D36">
        <v>834062</v>
      </c>
      <c r="E36">
        <v>136.80000000000001</v>
      </c>
      <c r="F36">
        <v>102.89</v>
      </c>
      <c r="G36">
        <v>5.58</v>
      </c>
      <c r="H36">
        <v>4</v>
      </c>
      <c r="I36" t="str">
        <f>+A36&amp;"Q"&amp;H36</f>
        <v>2018Q4</v>
      </c>
      <c r="J36" s="1">
        <f>+EOMONTH(DATE(A36,12,1),0)</f>
        <v>43465</v>
      </c>
    </row>
    <row r="37" spans="1:10" x14ac:dyDescent="0.3">
      <c r="A37">
        <f t="shared" si="0"/>
        <v>2018</v>
      </c>
      <c r="B37">
        <f t="shared" si="1"/>
        <v>12</v>
      </c>
      <c r="C37" s="1">
        <v>43465</v>
      </c>
      <c r="D37">
        <v>736209</v>
      </c>
      <c r="E37">
        <v>106.2</v>
      </c>
      <c r="F37">
        <v>103.15</v>
      </c>
      <c r="G37">
        <v>5.39</v>
      </c>
      <c r="H37">
        <v>4</v>
      </c>
      <c r="I37" t="str">
        <f>+A37&amp;"Q"&amp;H37</f>
        <v>2018Q4</v>
      </c>
      <c r="J37" s="1">
        <f>+EOMONTH(DATE(A37,12,1),0)</f>
        <v>43465</v>
      </c>
    </row>
    <row r="38" spans="1:10" x14ac:dyDescent="0.3">
      <c r="A38">
        <f t="shared" si="0"/>
        <v>2019</v>
      </c>
      <c r="B38">
        <f t="shared" si="1"/>
        <v>1</v>
      </c>
      <c r="C38" s="1">
        <v>43496</v>
      </c>
      <c r="D38">
        <v>901399</v>
      </c>
      <c r="E38">
        <v>117.7</v>
      </c>
      <c r="F38">
        <v>103.3</v>
      </c>
      <c r="G38">
        <v>5.76</v>
      </c>
      <c r="H38">
        <v>1</v>
      </c>
      <c r="I38" t="str">
        <f>+A38&amp;"Q"&amp;H38</f>
        <v>2019Q1</v>
      </c>
      <c r="J38" s="1">
        <f>+EOMONTH(DATE(A38,3,1),0)</f>
        <v>43555</v>
      </c>
    </row>
    <row r="39" spans="1:10" x14ac:dyDescent="0.3">
      <c r="A39">
        <f t="shared" si="0"/>
        <v>2019</v>
      </c>
      <c r="B39">
        <f t="shared" si="1"/>
        <v>2</v>
      </c>
      <c r="C39" s="1">
        <v>43524</v>
      </c>
      <c r="D39">
        <v>902821</v>
      </c>
      <c r="E39">
        <v>133.5</v>
      </c>
      <c r="F39">
        <v>103.43</v>
      </c>
      <c r="G39">
        <v>5.66</v>
      </c>
      <c r="H39">
        <v>1</v>
      </c>
      <c r="I39" t="str">
        <f>+A39&amp;"Q"&amp;H39</f>
        <v>2019Q1</v>
      </c>
      <c r="J39" s="1">
        <f>+EOMONTH(DATE(A39,3,1),0)</f>
        <v>43555</v>
      </c>
    </row>
    <row r="40" spans="1:10" x14ac:dyDescent="0.3">
      <c r="A40">
        <f t="shared" si="0"/>
        <v>2019</v>
      </c>
      <c r="B40">
        <f t="shared" si="1"/>
        <v>3</v>
      </c>
      <c r="C40" s="1">
        <v>43555</v>
      </c>
      <c r="D40">
        <v>1109915</v>
      </c>
      <c r="E40">
        <v>145.30000000000001</v>
      </c>
      <c r="F40">
        <v>103.55</v>
      </c>
      <c r="G40">
        <v>5.59</v>
      </c>
      <c r="H40">
        <v>1</v>
      </c>
      <c r="I40" t="str">
        <f>+A40&amp;"Q"&amp;H40</f>
        <v>2019Q1</v>
      </c>
      <c r="J40" s="1">
        <f>+EOMONTH(DATE(A40,3,1),0)</f>
        <v>43555</v>
      </c>
    </row>
    <row r="41" spans="1:10" x14ac:dyDescent="0.3">
      <c r="A41">
        <f t="shared" si="0"/>
        <v>2019</v>
      </c>
      <c r="B41">
        <f t="shared" si="1"/>
        <v>4</v>
      </c>
      <c r="C41" s="1">
        <v>43585</v>
      </c>
      <c r="D41">
        <v>1003198</v>
      </c>
      <c r="E41">
        <v>130.1</v>
      </c>
      <c r="F41">
        <v>103.54</v>
      </c>
      <c r="G41">
        <v>5.62</v>
      </c>
      <c r="H41">
        <v>2</v>
      </c>
      <c r="I41" t="str">
        <f>+A41&amp;"Q"&amp;H41</f>
        <v>2019Q2</v>
      </c>
      <c r="J41" s="1">
        <f>+EOMONTH(DATE(A41,6,1),0)</f>
        <v>43646</v>
      </c>
    </row>
    <row r="42" spans="1:10" x14ac:dyDescent="0.3">
      <c r="A42">
        <f t="shared" si="0"/>
        <v>2019</v>
      </c>
      <c r="B42">
        <f t="shared" si="1"/>
        <v>5</v>
      </c>
      <c r="C42" s="1">
        <v>43616</v>
      </c>
      <c r="D42">
        <v>1064255</v>
      </c>
      <c r="E42">
        <v>136.19999999999999</v>
      </c>
      <c r="F42">
        <v>103.63</v>
      </c>
      <c r="G42">
        <v>5.74</v>
      </c>
      <c r="H42">
        <v>2</v>
      </c>
      <c r="I42" t="str">
        <f>+A42&amp;"Q"&amp;H42</f>
        <v>2019Q2</v>
      </c>
      <c r="J42" s="1">
        <f>+EOMONTH(DATE(A42,6,1),0)</f>
        <v>43646</v>
      </c>
    </row>
    <row r="43" spans="1:10" x14ac:dyDescent="0.3">
      <c r="A43">
        <f t="shared" si="0"/>
        <v>2019</v>
      </c>
      <c r="B43">
        <f t="shared" si="1"/>
        <v>6</v>
      </c>
      <c r="C43" s="1">
        <v>43646</v>
      </c>
      <c r="D43">
        <v>1072537</v>
      </c>
      <c r="E43">
        <v>136.30000000000001</v>
      </c>
      <c r="F43">
        <v>103.59</v>
      </c>
      <c r="G43">
        <v>5.64</v>
      </c>
      <c r="H43">
        <v>2</v>
      </c>
      <c r="I43" t="str">
        <f>+A43&amp;"Q"&amp;H43</f>
        <v>2019Q2</v>
      </c>
      <c r="J43" s="1">
        <f>+EOMONTH(DATE(A43,6,1),0)</f>
        <v>43646</v>
      </c>
    </row>
    <row r="44" spans="1:10" x14ac:dyDescent="0.3">
      <c r="A44">
        <f t="shared" si="0"/>
        <v>2019</v>
      </c>
      <c r="B44">
        <f t="shared" si="1"/>
        <v>7</v>
      </c>
      <c r="C44" s="1">
        <v>43677</v>
      </c>
      <c r="D44">
        <v>984518</v>
      </c>
      <c r="E44">
        <v>126.7</v>
      </c>
      <c r="F44">
        <v>103.58</v>
      </c>
      <c r="G44">
        <v>5.73</v>
      </c>
      <c r="H44">
        <v>3</v>
      </c>
      <c r="I44" t="str">
        <f>+A44&amp;"Q"&amp;H44</f>
        <v>2019Q3</v>
      </c>
      <c r="J44" s="1">
        <f>+EOMONTH(DATE(A44,9,1),0)</f>
        <v>43738</v>
      </c>
    </row>
    <row r="45" spans="1:10" x14ac:dyDescent="0.3">
      <c r="A45">
        <f t="shared" si="0"/>
        <v>2019</v>
      </c>
      <c r="B45">
        <f t="shared" si="1"/>
        <v>8</v>
      </c>
      <c r="C45" s="1">
        <v>43708</v>
      </c>
      <c r="D45">
        <v>786009</v>
      </c>
      <c r="E45">
        <v>93.8</v>
      </c>
      <c r="F45">
        <v>103.54</v>
      </c>
      <c r="G45">
        <v>5.8</v>
      </c>
      <c r="H45">
        <v>3</v>
      </c>
      <c r="I45" t="str">
        <f>+A45&amp;"Q"&amp;H45</f>
        <v>2019Q3</v>
      </c>
      <c r="J45" s="1">
        <f>+EOMONTH(DATE(A45,9,1),0)</f>
        <v>43738</v>
      </c>
    </row>
    <row r="46" spans="1:10" x14ac:dyDescent="0.3">
      <c r="A46">
        <f t="shared" si="0"/>
        <v>2019</v>
      </c>
      <c r="B46">
        <f t="shared" si="1"/>
        <v>9</v>
      </c>
      <c r="C46" s="1">
        <v>43738</v>
      </c>
      <c r="D46">
        <v>794133</v>
      </c>
      <c r="E46">
        <v>137</v>
      </c>
      <c r="F46">
        <v>103.54</v>
      </c>
      <c r="G46">
        <v>5.62</v>
      </c>
      <c r="H46">
        <v>3</v>
      </c>
      <c r="I46" t="str">
        <f>+A46&amp;"Q"&amp;H46</f>
        <v>2019Q3</v>
      </c>
      <c r="J46" s="1">
        <f>+EOMONTH(DATE(A46,9,1),0)</f>
        <v>43738</v>
      </c>
    </row>
    <row r="47" spans="1:10" x14ac:dyDescent="0.3">
      <c r="A47">
        <f t="shared" si="0"/>
        <v>2019</v>
      </c>
      <c r="B47">
        <f t="shared" si="1"/>
        <v>10</v>
      </c>
      <c r="C47" s="1">
        <v>43769</v>
      </c>
      <c r="D47">
        <v>893946</v>
      </c>
      <c r="E47">
        <v>129.4</v>
      </c>
      <c r="F47">
        <v>103.63</v>
      </c>
      <c r="G47">
        <v>5.58</v>
      </c>
      <c r="H47">
        <v>4</v>
      </c>
      <c r="I47" t="str">
        <f>+A47&amp;"Q"&amp;H47</f>
        <v>2019Q4</v>
      </c>
      <c r="J47" s="1">
        <f>+EOMONTH(DATE(A47,12,1),0)</f>
        <v>43830</v>
      </c>
    </row>
    <row r="48" spans="1:10" x14ac:dyDescent="0.3">
      <c r="A48">
        <f t="shared" si="0"/>
        <v>2019</v>
      </c>
      <c r="B48">
        <f t="shared" si="1"/>
        <v>11</v>
      </c>
      <c r="C48" s="1">
        <v>43799</v>
      </c>
      <c r="D48">
        <v>875750</v>
      </c>
      <c r="E48">
        <v>134.80000000000001</v>
      </c>
      <c r="F48">
        <v>103.86</v>
      </c>
      <c r="G48">
        <v>5.51</v>
      </c>
      <c r="H48">
        <v>4</v>
      </c>
      <c r="I48" t="str">
        <f>+A48&amp;"Q"&amp;H48</f>
        <v>2019Q4</v>
      </c>
      <c r="J48" s="1">
        <f>+EOMONTH(DATE(A48,12,1),0)</f>
        <v>43830</v>
      </c>
    </row>
    <row r="49" spans="1:10" x14ac:dyDescent="0.3">
      <c r="A49">
        <f t="shared" si="0"/>
        <v>2019</v>
      </c>
      <c r="B49">
        <f t="shared" si="1"/>
        <v>12</v>
      </c>
      <c r="C49" s="1">
        <v>43830</v>
      </c>
      <c r="D49">
        <v>898287</v>
      </c>
      <c r="E49">
        <v>96.6</v>
      </c>
      <c r="F49">
        <v>104.15</v>
      </c>
      <c r="G49">
        <v>5.29</v>
      </c>
      <c r="H49">
        <v>4</v>
      </c>
      <c r="I49" t="str">
        <f>+A49&amp;"Q"&amp;H49</f>
        <v>2019Q4</v>
      </c>
      <c r="J49" s="1">
        <f>+EOMONTH(DATE(A49,12,1),0)</f>
        <v>43830</v>
      </c>
    </row>
    <row r="50" spans="1:10" x14ac:dyDescent="0.3">
      <c r="A50">
        <f t="shared" si="0"/>
        <v>2020</v>
      </c>
      <c r="B50">
        <f t="shared" si="1"/>
        <v>1</v>
      </c>
      <c r="C50" s="1">
        <v>43861</v>
      </c>
      <c r="D50">
        <v>837447</v>
      </c>
      <c r="E50">
        <v>114.6</v>
      </c>
      <c r="F50">
        <v>104.31</v>
      </c>
      <c r="G50">
        <v>5.68</v>
      </c>
      <c r="H50">
        <v>1</v>
      </c>
      <c r="I50" t="str">
        <f>+A50&amp;"Q"&amp;H50</f>
        <v>2020Q1</v>
      </c>
      <c r="J50" s="1">
        <f>+EOMONTH(DATE(A50,3,1),0)</f>
        <v>43921</v>
      </c>
    </row>
    <row r="51" spans="1:10" x14ac:dyDescent="0.3">
      <c r="A51">
        <f t="shared" si="0"/>
        <v>2020</v>
      </c>
      <c r="B51">
        <f t="shared" si="1"/>
        <v>2</v>
      </c>
      <c r="C51" s="1">
        <v>43890</v>
      </c>
      <c r="D51">
        <v>841946</v>
      </c>
      <c r="E51">
        <v>130.1</v>
      </c>
      <c r="F51">
        <v>104.43</v>
      </c>
      <c r="G51">
        <v>5.57</v>
      </c>
      <c r="H51">
        <v>1</v>
      </c>
      <c r="I51" t="str">
        <f>+A51&amp;"Q"&amp;H51</f>
        <v>2020Q1</v>
      </c>
      <c r="J51" s="1">
        <f>+EOMONTH(DATE(A51,3,1),0)</f>
        <v>43921</v>
      </c>
    </row>
    <row r="52" spans="1:10" x14ac:dyDescent="0.3">
      <c r="A52">
        <f t="shared" si="0"/>
        <v>2020</v>
      </c>
      <c r="B52">
        <f t="shared" si="1"/>
        <v>3</v>
      </c>
      <c r="C52" s="1">
        <v>43921</v>
      </c>
      <c r="D52">
        <v>461342</v>
      </c>
      <c r="E52">
        <v>90.7</v>
      </c>
      <c r="F52">
        <v>104.43</v>
      </c>
      <c r="G52">
        <v>5.46</v>
      </c>
      <c r="H52">
        <v>1</v>
      </c>
      <c r="I52" t="str">
        <f>+A52&amp;"Q"&amp;H52</f>
        <v>2020Q1</v>
      </c>
      <c r="J52" s="1">
        <f>+EOMONTH(DATE(A52,3,1),0)</f>
        <v>43921</v>
      </c>
    </row>
    <row r="53" spans="1:10" x14ac:dyDescent="0.3">
      <c r="A53">
        <f t="shared" si="0"/>
        <v>2020</v>
      </c>
      <c r="B53">
        <f t="shared" si="1"/>
        <v>4</v>
      </c>
      <c r="C53" s="1">
        <v>43951</v>
      </c>
      <c r="D53">
        <v>204298</v>
      </c>
      <c r="E53">
        <v>19.3</v>
      </c>
      <c r="F53">
        <v>104.69</v>
      </c>
      <c r="G53">
        <v>5.15</v>
      </c>
      <c r="H53">
        <v>2</v>
      </c>
      <c r="I53" t="str">
        <f>+A53&amp;"Q"&amp;H53</f>
        <v>2020Q2</v>
      </c>
      <c r="J53" s="1">
        <f>+EOMONTH(DATE(A53,6,1),0)</f>
        <v>44012</v>
      </c>
    </row>
    <row r="54" spans="1:10" x14ac:dyDescent="0.3">
      <c r="A54">
        <f t="shared" si="0"/>
        <v>2020</v>
      </c>
      <c r="B54">
        <f t="shared" si="1"/>
        <v>5</v>
      </c>
      <c r="C54" s="1">
        <v>43982</v>
      </c>
      <c r="D54">
        <v>504593</v>
      </c>
      <c r="E54">
        <v>64</v>
      </c>
      <c r="F54">
        <v>104.7</v>
      </c>
      <c r="G54">
        <v>5.0999999999999996</v>
      </c>
      <c r="H54">
        <v>2</v>
      </c>
      <c r="I54" t="str">
        <f>+A54&amp;"Q"&amp;H54</f>
        <v>2020Q2</v>
      </c>
      <c r="J54" s="1">
        <f>+EOMONTH(DATE(A54,6,1),0)</f>
        <v>44012</v>
      </c>
    </row>
    <row r="55" spans="1:10" x14ac:dyDescent="0.3">
      <c r="A55">
        <f t="shared" si="0"/>
        <v>2020</v>
      </c>
      <c r="B55">
        <f t="shared" si="1"/>
        <v>6</v>
      </c>
      <c r="C55" s="1">
        <v>44012</v>
      </c>
      <c r="D55">
        <v>827732</v>
      </c>
      <c r="E55">
        <v>103.1</v>
      </c>
      <c r="F55">
        <v>104.72</v>
      </c>
      <c r="G55">
        <v>5.05</v>
      </c>
      <c r="H55">
        <v>2</v>
      </c>
      <c r="I55" t="str">
        <f>+A55&amp;"Q"&amp;H55</f>
        <v>2020Q2</v>
      </c>
      <c r="J55" s="1">
        <f>+EOMONTH(DATE(A55,6,1),0)</f>
        <v>44012</v>
      </c>
    </row>
    <row r="56" spans="1:10" x14ac:dyDescent="0.3">
      <c r="A56">
        <f t="shared" si="0"/>
        <v>2020</v>
      </c>
      <c r="B56">
        <f t="shared" si="1"/>
        <v>7</v>
      </c>
      <c r="C56" s="1">
        <v>44043</v>
      </c>
      <c r="D56">
        <v>940814</v>
      </c>
      <c r="E56">
        <v>111.3</v>
      </c>
      <c r="F56">
        <v>104.4</v>
      </c>
      <c r="G56">
        <v>5.2</v>
      </c>
      <c r="H56">
        <v>3</v>
      </c>
      <c r="I56" t="str">
        <f>+A56&amp;"Q"&amp;H56</f>
        <v>2020Q3</v>
      </c>
      <c r="J56" s="1">
        <f>+EOMONTH(DATE(A56,9,1),0)</f>
        <v>44104</v>
      </c>
    </row>
    <row r="57" spans="1:10" x14ac:dyDescent="0.3">
      <c r="A57">
        <f t="shared" si="0"/>
        <v>2020</v>
      </c>
      <c r="B57">
        <f t="shared" si="1"/>
        <v>8</v>
      </c>
      <c r="C57" s="1">
        <v>44074</v>
      </c>
      <c r="D57">
        <v>651197</v>
      </c>
      <c r="E57">
        <v>75</v>
      </c>
      <c r="F57">
        <v>104.59</v>
      </c>
      <c r="G57">
        <v>5.35</v>
      </c>
      <c r="H57">
        <v>3</v>
      </c>
      <c r="I57" t="str">
        <f>+A57&amp;"Q"&amp;H57</f>
        <v>2020Q3</v>
      </c>
      <c r="J57" s="1">
        <f>+EOMONTH(DATE(A57,9,1),0)</f>
        <v>44104</v>
      </c>
    </row>
    <row r="58" spans="1:10" x14ac:dyDescent="0.3">
      <c r="A58">
        <f t="shared" si="0"/>
        <v>2020</v>
      </c>
      <c r="B58">
        <f t="shared" si="1"/>
        <v>9</v>
      </c>
      <c r="C58" s="1">
        <v>44104</v>
      </c>
      <c r="D58">
        <v>808924</v>
      </c>
      <c r="E58">
        <v>124.2</v>
      </c>
      <c r="F58">
        <v>104.8</v>
      </c>
      <c r="G58">
        <v>5.23</v>
      </c>
      <c r="H58">
        <v>3</v>
      </c>
      <c r="I58" t="str">
        <f>+A58&amp;"Q"&amp;H58</f>
        <v>2020Q3</v>
      </c>
      <c r="J58" s="1">
        <f>+EOMONTH(DATE(A58,9,1),0)</f>
        <v>44104</v>
      </c>
    </row>
    <row r="59" spans="1:10" x14ac:dyDescent="0.3">
      <c r="A59">
        <f t="shared" si="0"/>
        <v>2020</v>
      </c>
      <c r="B59">
        <f t="shared" si="1"/>
        <v>10</v>
      </c>
      <c r="C59" s="1">
        <v>44135</v>
      </c>
      <c r="D59">
        <v>826925</v>
      </c>
      <c r="E59">
        <v>131.5</v>
      </c>
      <c r="F59">
        <v>104.8</v>
      </c>
      <c r="G59">
        <v>5.25</v>
      </c>
      <c r="H59">
        <v>4</v>
      </c>
      <c r="I59" t="str">
        <f>+A59&amp;"Q"&amp;H59</f>
        <v>2020Q4</v>
      </c>
      <c r="J59" s="1">
        <f>+EOMONTH(DATE(A59,12,1),0)</f>
        <v>44196</v>
      </c>
    </row>
    <row r="60" spans="1:10" x14ac:dyDescent="0.3">
      <c r="A60">
        <f t="shared" si="0"/>
        <v>2020</v>
      </c>
      <c r="B60">
        <f t="shared" si="1"/>
        <v>11</v>
      </c>
      <c r="C60" s="1">
        <v>44165</v>
      </c>
      <c r="D60">
        <v>765375</v>
      </c>
      <c r="E60">
        <v>139</v>
      </c>
      <c r="F60">
        <v>104.87</v>
      </c>
      <c r="G60">
        <v>5.22</v>
      </c>
      <c r="H60">
        <v>4</v>
      </c>
      <c r="I60" t="str">
        <f>+A60&amp;"Q"&amp;H60</f>
        <v>2020Q4</v>
      </c>
      <c r="J60" s="1">
        <f>+EOMONTH(DATE(A60,12,1),0)</f>
        <v>44196</v>
      </c>
    </row>
    <row r="61" spans="1:10" x14ac:dyDescent="0.3">
      <c r="A61">
        <f t="shared" si="0"/>
        <v>2020</v>
      </c>
      <c r="B61">
        <f t="shared" si="1"/>
        <v>12</v>
      </c>
      <c r="C61" s="1">
        <v>44196</v>
      </c>
      <c r="D61">
        <v>870925</v>
      </c>
      <c r="E61">
        <v>100.1</v>
      </c>
      <c r="F61">
        <v>105.03</v>
      </c>
      <c r="G61">
        <v>5.0599999999999996</v>
      </c>
      <c r="H61">
        <v>4</v>
      </c>
      <c r="I61" t="str">
        <f>+A61&amp;"Q"&amp;H61</f>
        <v>2020Q4</v>
      </c>
      <c r="J61" s="1">
        <f>+EOMONTH(DATE(A61,12,1),0)</f>
        <v>44196</v>
      </c>
    </row>
    <row r="62" spans="1:10" x14ac:dyDescent="0.3">
      <c r="A62">
        <f t="shared" si="0"/>
        <v>2021</v>
      </c>
      <c r="B62">
        <f t="shared" si="1"/>
        <v>1</v>
      </c>
      <c r="C62" s="1">
        <v>44227</v>
      </c>
      <c r="D62">
        <v>631888</v>
      </c>
      <c r="E62">
        <v>105.3</v>
      </c>
      <c r="F62">
        <v>106.04</v>
      </c>
      <c r="G62">
        <v>5.26</v>
      </c>
      <c r="H62">
        <v>1</v>
      </c>
      <c r="I62" t="str">
        <f>+A62&amp;"Q"&amp;H62</f>
        <v>2021Q1</v>
      </c>
      <c r="J62" s="1">
        <f>+EOMONTH(DATE(A62,3,1),0)</f>
        <v>44286</v>
      </c>
    </row>
    <row r="63" spans="1:10" x14ac:dyDescent="0.3">
      <c r="A63">
        <f t="shared" si="0"/>
        <v>2021</v>
      </c>
      <c r="B63">
        <f t="shared" si="1"/>
        <v>2</v>
      </c>
      <c r="C63" s="1">
        <v>44255</v>
      </c>
      <c r="D63">
        <v>666711</v>
      </c>
      <c r="E63">
        <v>114.7</v>
      </c>
      <c r="F63">
        <v>106.11</v>
      </c>
      <c r="G63">
        <v>5.23</v>
      </c>
      <c r="H63">
        <v>1</v>
      </c>
      <c r="I63" t="str">
        <f>+A63&amp;"Q"&amp;H63</f>
        <v>2021Q1</v>
      </c>
      <c r="J63" s="1">
        <f>+EOMONTH(DATE(A63,3,1),0)</f>
        <v>44286</v>
      </c>
    </row>
    <row r="64" spans="1:10" x14ac:dyDescent="0.3">
      <c r="A64">
        <f t="shared" si="0"/>
        <v>2021</v>
      </c>
      <c r="B64">
        <f t="shared" si="1"/>
        <v>3</v>
      </c>
      <c r="C64" s="1">
        <v>44286</v>
      </c>
      <c r="D64">
        <v>900974</v>
      </c>
      <c r="E64">
        <v>126</v>
      </c>
      <c r="F64">
        <v>106.49</v>
      </c>
      <c r="G64">
        <v>5.0999999999999996</v>
      </c>
      <c r="H64">
        <v>1</v>
      </c>
      <c r="I64" t="str">
        <f>+A64&amp;"Q"&amp;H64</f>
        <v>2021Q1</v>
      </c>
      <c r="J64" s="1">
        <f>+EOMONTH(DATE(A64,3,1),0)</f>
        <v>44286</v>
      </c>
    </row>
    <row r="65" spans="1:10" x14ac:dyDescent="0.3">
      <c r="A65">
        <f t="shared" si="0"/>
        <v>2021</v>
      </c>
      <c r="B65">
        <f t="shared" si="1"/>
        <v>4</v>
      </c>
      <c r="C65" s="1">
        <v>44316</v>
      </c>
      <c r="D65">
        <v>746112</v>
      </c>
      <c r="E65">
        <v>110.1</v>
      </c>
      <c r="F65">
        <v>106.84</v>
      </c>
      <c r="G65">
        <v>5.18</v>
      </c>
      <c r="H65">
        <v>2</v>
      </c>
      <c r="I65" t="str">
        <f>+A65&amp;"Q"&amp;H65</f>
        <v>2021Q2</v>
      </c>
      <c r="J65" s="1">
        <f>+EOMONTH(DATE(A65,6,1),0)</f>
        <v>44377</v>
      </c>
    </row>
    <row r="66" spans="1:10" x14ac:dyDescent="0.3">
      <c r="A66">
        <f t="shared" ref="A66:A129" si="2">+YEAR(C66)</f>
        <v>2021</v>
      </c>
      <c r="B66">
        <f t="shared" si="1"/>
        <v>5</v>
      </c>
      <c r="C66" s="1">
        <v>44347</v>
      </c>
      <c r="D66">
        <v>766475</v>
      </c>
      <c r="E66">
        <v>99.1</v>
      </c>
      <c r="F66">
        <v>107.02</v>
      </c>
      <c r="G66">
        <v>5.3</v>
      </c>
      <c r="H66">
        <v>2</v>
      </c>
      <c r="I66" t="str">
        <f>+A66&amp;"Q"&amp;H66</f>
        <v>2021Q2</v>
      </c>
      <c r="J66" s="1">
        <f>+EOMONTH(DATE(A66,6,1),0)</f>
        <v>44377</v>
      </c>
    </row>
    <row r="67" spans="1:10" x14ac:dyDescent="0.3">
      <c r="A67">
        <f t="shared" si="2"/>
        <v>2021</v>
      </c>
      <c r="B67">
        <f t="shared" ref="B67:B109" si="3">+_xlfn.NUMBERVALUE(MONTH(C67))</f>
        <v>6</v>
      </c>
      <c r="C67" s="1">
        <v>44377</v>
      </c>
      <c r="D67">
        <v>899191</v>
      </c>
      <c r="E67">
        <v>98.2</v>
      </c>
      <c r="F67">
        <v>107.31</v>
      </c>
      <c r="G67">
        <v>5.16</v>
      </c>
      <c r="H67">
        <v>2</v>
      </c>
      <c r="I67" t="str">
        <f>+A67&amp;"Q"&amp;H67</f>
        <v>2021Q2</v>
      </c>
      <c r="J67" s="1">
        <f>+EOMONTH(DATE(A67,6,1),0)</f>
        <v>44377</v>
      </c>
    </row>
    <row r="68" spans="1:10" x14ac:dyDescent="0.3">
      <c r="A68">
        <f t="shared" si="2"/>
        <v>2021</v>
      </c>
      <c r="B68">
        <f t="shared" si="3"/>
        <v>7</v>
      </c>
      <c r="C68" s="1">
        <v>44408</v>
      </c>
      <c r="D68">
        <v>707701</v>
      </c>
      <c r="E68">
        <v>98.5</v>
      </c>
      <c r="F68">
        <v>107.7</v>
      </c>
      <c r="G68">
        <v>5.25</v>
      </c>
      <c r="H68">
        <v>3</v>
      </c>
      <c r="I68" t="str">
        <f>+A68&amp;"Q"&amp;H68</f>
        <v>2021Q3</v>
      </c>
      <c r="J68" s="1">
        <f>+EOMONTH(DATE(A68,9,1),0)</f>
        <v>44469</v>
      </c>
    </row>
    <row r="69" spans="1:10" x14ac:dyDescent="0.3">
      <c r="A69">
        <f t="shared" si="2"/>
        <v>2021</v>
      </c>
      <c r="B69">
        <f t="shared" si="3"/>
        <v>8</v>
      </c>
      <c r="C69" s="1">
        <v>44439</v>
      </c>
      <c r="D69">
        <v>509803</v>
      </c>
      <c r="E69">
        <v>57</v>
      </c>
      <c r="F69">
        <v>107.96</v>
      </c>
      <c r="G69">
        <v>5.35</v>
      </c>
      <c r="H69">
        <v>3</v>
      </c>
      <c r="I69" t="str">
        <f>+A69&amp;"Q"&amp;H69</f>
        <v>2021Q3</v>
      </c>
      <c r="J69" s="1">
        <f>+EOMONTH(DATE(A69,9,1),0)</f>
        <v>44469</v>
      </c>
    </row>
    <row r="70" spans="1:10" x14ac:dyDescent="0.3">
      <c r="A70">
        <f t="shared" si="2"/>
        <v>2021</v>
      </c>
      <c r="B70">
        <f t="shared" si="3"/>
        <v>9</v>
      </c>
      <c r="C70" s="1">
        <v>44469</v>
      </c>
      <c r="D70">
        <v>614705</v>
      </c>
      <c r="E70">
        <v>89.9</v>
      </c>
      <c r="F70">
        <v>108.66</v>
      </c>
      <c r="G70">
        <v>5.27</v>
      </c>
      <c r="H70">
        <v>3</v>
      </c>
      <c r="I70" t="str">
        <f>+A70&amp;"Q"&amp;H70</f>
        <v>2021Q3</v>
      </c>
      <c r="J70" s="1">
        <f>+EOMONTH(DATE(A70,9,1),0)</f>
        <v>44469</v>
      </c>
    </row>
    <row r="71" spans="1:10" x14ac:dyDescent="0.3">
      <c r="A71">
        <f t="shared" si="2"/>
        <v>2021</v>
      </c>
      <c r="B71">
        <f t="shared" si="3"/>
        <v>10</v>
      </c>
      <c r="C71" s="1">
        <v>44500</v>
      </c>
      <c r="D71">
        <v>567767</v>
      </c>
      <c r="E71">
        <v>100.2</v>
      </c>
      <c r="F71">
        <v>109.28</v>
      </c>
      <c r="G71">
        <v>5.25</v>
      </c>
      <c r="H71">
        <v>4</v>
      </c>
      <c r="I71" t="str">
        <f>+A71&amp;"Q"&amp;H71</f>
        <v>2021Q4</v>
      </c>
      <c r="J71" s="1">
        <f>+EOMONTH(DATE(A71,12,1),0)</f>
        <v>44561</v>
      </c>
    </row>
    <row r="72" spans="1:10" x14ac:dyDescent="0.3">
      <c r="A72">
        <f t="shared" si="2"/>
        <v>2021</v>
      </c>
      <c r="B72">
        <f t="shared" si="3"/>
        <v>11</v>
      </c>
      <c r="C72" s="1">
        <v>44530</v>
      </c>
      <c r="D72">
        <v>606253</v>
      </c>
      <c r="E72">
        <v>112.5</v>
      </c>
      <c r="F72">
        <v>109.88</v>
      </c>
      <c r="G72">
        <v>5.19</v>
      </c>
      <c r="H72">
        <v>4</v>
      </c>
      <c r="I72" t="str">
        <f>+A72&amp;"Q"&amp;H72</f>
        <v>2021Q4</v>
      </c>
      <c r="J72" s="1">
        <f>+EOMONTH(DATE(A72,12,1),0)</f>
        <v>44561</v>
      </c>
    </row>
    <row r="73" spans="1:10" x14ac:dyDescent="0.3">
      <c r="A73">
        <f t="shared" si="2"/>
        <v>2021</v>
      </c>
      <c r="B73">
        <f t="shared" si="3"/>
        <v>12</v>
      </c>
      <c r="C73" s="1">
        <v>44561</v>
      </c>
      <c r="D73">
        <v>675010</v>
      </c>
      <c r="E73">
        <v>88.6</v>
      </c>
      <c r="F73">
        <v>110.58</v>
      </c>
      <c r="G73">
        <v>5.0599999999999996</v>
      </c>
      <c r="H73">
        <v>4</v>
      </c>
      <c r="I73" t="str">
        <f>+A73&amp;"Q"&amp;H73</f>
        <v>2021Q4</v>
      </c>
      <c r="J73" s="1">
        <f>+EOMONTH(DATE(A73,12,1),0)</f>
        <v>44561</v>
      </c>
    </row>
    <row r="74" spans="1:10" x14ac:dyDescent="0.3">
      <c r="A74">
        <f t="shared" si="2"/>
        <v>2022</v>
      </c>
      <c r="B74">
        <f t="shared" si="3"/>
        <v>1</v>
      </c>
      <c r="C74" s="1">
        <v>44592</v>
      </c>
      <c r="D74">
        <v>588550</v>
      </c>
      <c r="E74">
        <v>97.3</v>
      </c>
      <c r="F74">
        <v>111.75</v>
      </c>
      <c r="G74">
        <v>5.3</v>
      </c>
      <c r="H74">
        <v>1</v>
      </c>
      <c r="I74" t="str">
        <f>+A74&amp;"Q"&amp;H74</f>
        <v>2022Q1</v>
      </c>
      <c r="J74" s="1">
        <f>+EOMONTH(DATE(A74,3,1),0)</f>
        <v>44651</v>
      </c>
    </row>
    <row r="75" spans="1:10" x14ac:dyDescent="0.3">
      <c r="A75">
        <f t="shared" si="2"/>
        <v>2022</v>
      </c>
      <c r="B75">
        <f t="shared" si="3"/>
        <v>2</v>
      </c>
      <c r="C75" s="1">
        <v>44620</v>
      </c>
      <c r="D75">
        <v>620256</v>
      </c>
      <c r="E75">
        <v>106.4</v>
      </c>
      <c r="F75">
        <v>112.68</v>
      </c>
      <c r="G75">
        <v>5.26</v>
      </c>
      <c r="H75">
        <v>1</v>
      </c>
      <c r="I75" t="str">
        <f>+A75&amp;"Q"&amp;H75</f>
        <v>2022Q1</v>
      </c>
      <c r="J75" s="1">
        <f>+EOMONTH(DATE(A75,3,1),0)</f>
        <v>44651</v>
      </c>
    </row>
    <row r="76" spans="1:10" x14ac:dyDescent="0.3">
      <c r="A76">
        <f t="shared" si="2"/>
        <v>2022</v>
      </c>
      <c r="B76">
        <f t="shared" si="3"/>
        <v>3</v>
      </c>
      <c r="C76" s="1">
        <v>44651</v>
      </c>
      <c r="D76">
        <v>719500</v>
      </c>
      <c r="E76">
        <v>97.9</v>
      </c>
      <c r="F76">
        <v>113.56</v>
      </c>
      <c r="G76">
        <v>5.25</v>
      </c>
      <c r="H76">
        <v>1</v>
      </c>
      <c r="I76" t="str">
        <f>+A76&amp;"Q"&amp;H76</f>
        <v>2022Q1</v>
      </c>
      <c r="J76" s="1">
        <f>+EOMONTH(DATE(A76,3,1),0)</f>
        <v>44651</v>
      </c>
    </row>
    <row r="77" spans="1:10" x14ac:dyDescent="0.3">
      <c r="A77">
        <f t="shared" si="2"/>
        <v>2022</v>
      </c>
      <c r="B77">
        <f t="shared" si="3"/>
        <v>4</v>
      </c>
      <c r="C77" s="1">
        <v>44681</v>
      </c>
      <c r="D77">
        <v>581969</v>
      </c>
      <c r="E77">
        <v>98.3</v>
      </c>
      <c r="F77">
        <v>114.63</v>
      </c>
      <c r="G77">
        <v>5.41</v>
      </c>
      <c r="H77">
        <v>2</v>
      </c>
      <c r="I77" t="str">
        <f>+A77&amp;"Q"&amp;H77</f>
        <v>2022Q2</v>
      </c>
      <c r="J77" s="1">
        <f>+EOMONTH(DATE(A77,6,1),0)</f>
        <v>44742</v>
      </c>
    </row>
    <row r="78" spans="1:10" x14ac:dyDescent="0.3">
      <c r="A78">
        <f t="shared" si="2"/>
        <v>2022</v>
      </c>
      <c r="B78">
        <f t="shared" si="3"/>
        <v>5</v>
      </c>
      <c r="C78" s="1">
        <v>44712</v>
      </c>
      <c r="D78">
        <v>674706</v>
      </c>
      <c r="E78">
        <v>103.5</v>
      </c>
      <c r="F78">
        <v>115.38</v>
      </c>
      <c r="G78">
        <v>5.6</v>
      </c>
      <c r="H78">
        <v>2</v>
      </c>
      <c r="I78" t="str">
        <f>+A78&amp;"Q"&amp;H78</f>
        <v>2022Q2</v>
      </c>
      <c r="J78" s="1">
        <f>+EOMONTH(DATE(A78,6,1),0)</f>
        <v>44742</v>
      </c>
    </row>
    <row r="79" spans="1:10" x14ac:dyDescent="0.3">
      <c r="A79">
        <f t="shared" si="2"/>
        <v>2022</v>
      </c>
      <c r="B79">
        <f t="shared" si="3"/>
        <v>6</v>
      </c>
      <c r="C79" s="1">
        <v>44742</v>
      </c>
      <c r="D79">
        <v>763923</v>
      </c>
      <c r="E79">
        <v>109.7</v>
      </c>
      <c r="F79">
        <v>116.06</v>
      </c>
      <c r="G79">
        <v>5.56</v>
      </c>
      <c r="H79">
        <v>2</v>
      </c>
      <c r="I79" t="str">
        <f>+A79&amp;"Q"&amp;H79</f>
        <v>2022Q2</v>
      </c>
      <c r="J79" s="1">
        <f>+EOMONTH(DATE(A79,6,1),0)</f>
        <v>44742</v>
      </c>
    </row>
    <row r="80" spans="1:10" x14ac:dyDescent="0.3">
      <c r="A80">
        <f t="shared" si="2"/>
        <v>2022</v>
      </c>
      <c r="B80">
        <f t="shared" si="3"/>
        <v>7</v>
      </c>
      <c r="C80" s="1">
        <v>44773</v>
      </c>
      <c r="D80">
        <v>638697</v>
      </c>
      <c r="E80">
        <v>102.9</v>
      </c>
      <c r="F80">
        <v>117.02</v>
      </c>
      <c r="G80">
        <v>5.77</v>
      </c>
      <c r="H80">
        <v>3</v>
      </c>
      <c r="I80" t="str">
        <f>+A80&amp;"Q"&amp;H80</f>
        <v>2022Q3</v>
      </c>
      <c r="J80" s="1">
        <f>+EOMONTH(DATE(A80,9,1),0)</f>
        <v>44834</v>
      </c>
    </row>
    <row r="81" spans="1:10" x14ac:dyDescent="0.3">
      <c r="A81">
        <f t="shared" si="2"/>
        <v>2022</v>
      </c>
      <c r="B81">
        <f t="shared" si="3"/>
        <v>8</v>
      </c>
      <c r="C81" s="1">
        <v>44804</v>
      </c>
      <c r="D81">
        <v>541568</v>
      </c>
      <c r="E81">
        <v>74.3</v>
      </c>
      <c r="F81">
        <v>117.73</v>
      </c>
      <c r="G81">
        <v>5.97</v>
      </c>
      <c r="H81">
        <v>3</v>
      </c>
      <c r="I81" t="str">
        <f>+A81&amp;"Q"&amp;H81</f>
        <v>2022Q3</v>
      </c>
      <c r="J81" s="1">
        <f>+EOMONTH(DATE(A81,9,1),0)</f>
        <v>44834</v>
      </c>
    </row>
    <row r="82" spans="1:10" x14ac:dyDescent="0.3">
      <c r="A82">
        <f t="shared" si="2"/>
        <v>2022</v>
      </c>
      <c r="B82">
        <f t="shared" si="3"/>
        <v>9</v>
      </c>
      <c r="C82" s="1">
        <v>44834</v>
      </c>
      <c r="D82">
        <v>678610</v>
      </c>
      <c r="E82">
        <v>122</v>
      </c>
      <c r="F82">
        <v>118.49</v>
      </c>
      <c r="G82">
        <v>6</v>
      </c>
      <c r="H82">
        <v>3</v>
      </c>
      <c r="I82" t="str">
        <f>+A82&amp;"Q"&amp;H82</f>
        <v>2022Q3</v>
      </c>
      <c r="J82" s="1">
        <f>+EOMONTH(DATE(A82,9,1),0)</f>
        <v>44834</v>
      </c>
    </row>
    <row r="83" spans="1:10" x14ac:dyDescent="0.3">
      <c r="A83">
        <f t="shared" si="2"/>
        <v>2022</v>
      </c>
      <c r="B83">
        <f t="shared" si="3"/>
        <v>10</v>
      </c>
      <c r="C83" s="1">
        <v>44865</v>
      </c>
      <c r="D83">
        <v>643060</v>
      </c>
      <c r="E83">
        <v>115.4</v>
      </c>
      <c r="F83">
        <v>119.17</v>
      </c>
      <c r="G83">
        <v>6.26</v>
      </c>
      <c r="H83">
        <v>4</v>
      </c>
      <c r="I83" t="str">
        <f>+A83&amp;"Q"&amp;H83</f>
        <v>2022Q4</v>
      </c>
      <c r="J83" s="1">
        <f>+EOMONTH(DATE(A83,12,1),0)</f>
        <v>44926</v>
      </c>
    </row>
    <row r="84" spans="1:10" x14ac:dyDescent="0.3">
      <c r="A84">
        <f t="shared" si="2"/>
        <v>2022</v>
      </c>
      <c r="B84">
        <f t="shared" si="3"/>
        <v>11</v>
      </c>
      <c r="C84" s="1">
        <v>44895</v>
      </c>
      <c r="D84">
        <v>716193</v>
      </c>
      <c r="E84">
        <v>128.4</v>
      </c>
      <c r="F84">
        <v>119.86</v>
      </c>
      <c r="G84">
        <v>6.51</v>
      </c>
      <c r="H84">
        <v>4</v>
      </c>
      <c r="I84" t="str">
        <f>+A84&amp;"Q"&amp;H84</f>
        <v>2022Q4</v>
      </c>
      <c r="J84" s="1">
        <f>+EOMONTH(DATE(A84,12,1),0)</f>
        <v>44926</v>
      </c>
    </row>
    <row r="85" spans="1:10" x14ac:dyDescent="0.3">
      <c r="A85">
        <f t="shared" si="2"/>
        <v>2022</v>
      </c>
      <c r="B85">
        <f t="shared" si="3"/>
        <v>12</v>
      </c>
      <c r="C85" s="1">
        <v>44926</v>
      </c>
      <c r="D85">
        <v>771245</v>
      </c>
      <c r="E85">
        <v>95.9</v>
      </c>
      <c r="F85">
        <v>120.53</v>
      </c>
      <c r="G85">
        <v>6.42</v>
      </c>
      <c r="H85">
        <v>4</v>
      </c>
      <c r="I85" t="str">
        <f>+A85&amp;"Q"&amp;H85</f>
        <v>2022Q4</v>
      </c>
      <c r="J85" s="1">
        <f>+EOMONTH(DATE(A85,12,1),0)</f>
        <v>44926</v>
      </c>
    </row>
    <row r="86" spans="1:10" x14ac:dyDescent="0.3">
      <c r="A86">
        <f t="shared" si="2"/>
        <v>2023</v>
      </c>
      <c r="B86">
        <f t="shared" si="3"/>
        <v>1</v>
      </c>
      <c r="C86" s="1">
        <v>44957</v>
      </c>
      <c r="D86">
        <v>659298</v>
      </c>
      <c r="E86">
        <v>106.8</v>
      </c>
      <c r="F86">
        <v>121.25</v>
      </c>
      <c r="G86">
        <v>6.98</v>
      </c>
      <c r="H86">
        <v>1</v>
      </c>
      <c r="I86" t="str">
        <f>+A86&amp;"Q"&amp;H86</f>
        <v>2023Q1</v>
      </c>
      <c r="J86" s="1">
        <f>+EOMONTH(DATE(A86,3,1),0)</f>
        <v>45016</v>
      </c>
    </row>
    <row r="87" spans="1:10" x14ac:dyDescent="0.3">
      <c r="A87">
        <f t="shared" si="2"/>
        <v>2023</v>
      </c>
      <c r="B87">
        <f t="shared" si="3"/>
        <v>2</v>
      </c>
      <c r="C87" s="1">
        <v>44985</v>
      </c>
      <c r="D87">
        <v>692140</v>
      </c>
      <c r="E87">
        <v>127.2</v>
      </c>
      <c r="F87">
        <v>121.55</v>
      </c>
      <c r="G87">
        <v>7.08</v>
      </c>
      <c r="H87">
        <v>1</v>
      </c>
      <c r="I87" t="str">
        <f>+A87&amp;"Q"&amp;H87</f>
        <v>2023Q1</v>
      </c>
      <c r="J87" s="1">
        <f>+EOMONTH(DATE(A87,3,1),0)</f>
        <v>45016</v>
      </c>
    </row>
    <row r="88" spans="1:10" x14ac:dyDescent="0.3">
      <c r="A88">
        <f t="shared" si="2"/>
        <v>2023</v>
      </c>
      <c r="B88">
        <f t="shared" si="3"/>
        <v>3</v>
      </c>
      <c r="C88" s="1">
        <v>45016</v>
      </c>
      <c r="D88">
        <v>941467</v>
      </c>
      <c r="E88">
        <v>135.9</v>
      </c>
      <c r="F88">
        <v>122.13</v>
      </c>
      <c r="G88">
        <v>7.26</v>
      </c>
      <c r="H88">
        <v>1</v>
      </c>
      <c r="I88" t="str">
        <f>+A88&amp;"Q"&amp;H88</f>
        <v>2023Q1</v>
      </c>
      <c r="J88" s="1">
        <f>+EOMONTH(DATE(A88,3,1),0)</f>
        <v>45016</v>
      </c>
    </row>
    <row r="89" spans="1:10" x14ac:dyDescent="0.3">
      <c r="A89">
        <f t="shared" si="2"/>
        <v>2023</v>
      </c>
      <c r="B89">
        <f t="shared" si="3"/>
        <v>4</v>
      </c>
      <c r="C89" s="1">
        <v>45046</v>
      </c>
      <c r="D89">
        <v>694810</v>
      </c>
      <c r="E89">
        <v>118.9</v>
      </c>
      <c r="F89">
        <v>122.44</v>
      </c>
      <c r="G89">
        <v>7.48</v>
      </c>
      <c r="H89">
        <v>2</v>
      </c>
      <c r="I89" t="str">
        <f>+A89&amp;"Q"&amp;H89</f>
        <v>2023Q2</v>
      </c>
      <c r="J89" s="1">
        <f>+EOMONTH(DATE(A89,6,1),0)</f>
        <v>45107</v>
      </c>
    </row>
    <row r="90" spans="1:10" x14ac:dyDescent="0.3">
      <c r="A90">
        <f t="shared" si="2"/>
        <v>2023</v>
      </c>
      <c r="B90">
        <f t="shared" si="3"/>
        <v>5</v>
      </c>
      <c r="C90" s="1">
        <v>45077</v>
      </c>
      <c r="D90">
        <v>811565</v>
      </c>
      <c r="E90">
        <v>125.3</v>
      </c>
      <c r="F90">
        <v>122.67</v>
      </c>
      <c r="G90">
        <v>7.64</v>
      </c>
      <c r="H90">
        <v>2</v>
      </c>
      <c r="I90" t="str">
        <f>+A90&amp;"Q"&amp;H90</f>
        <v>2023Q2</v>
      </c>
      <c r="J90" s="1">
        <f>+EOMONTH(DATE(A90,6,1),0)</f>
        <v>45107</v>
      </c>
    </row>
    <row r="91" spans="1:10" x14ac:dyDescent="0.3">
      <c r="A91">
        <f t="shared" si="2"/>
        <v>2023</v>
      </c>
      <c r="B91">
        <f t="shared" si="3"/>
        <v>6</v>
      </c>
      <c r="C91" s="1">
        <v>45107</v>
      </c>
      <c r="D91">
        <v>908778</v>
      </c>
      <c r="E91">
        <v>123.7</v>
      </c>
      <c r="F91">
        <v>122.97</v>
      </c>
      <c r="G91">
        <v>7.42</v>
      </c>
      <c r="H91">
        <v>2</v>
      </c>
      <c r="I91" t="str">
        <f>+A91&amp;"Q"&amp;H91</f>
        <v>2023Q2</v>
      </c>
      <c r="J91" s="1">
        <f>+EOMONTH(DATE(A91,6,1),0)</f>
        <v>45107</v>
      </c>
    </row>
    <row r="92" spans="1:10" x14ac:dyDescent="0.3">
      <c r="A92">
        <f t="shared" si="2"/>
        <v>2023</v>
      </c>
      <c r="B92">
        <f t="shared" si="3"/>
        <v>7</v>
      </c>
      <c r="C92" s="1">
        <v>45138</v>
      </c>
      <c r="D92">
        <v>744628</v>
      </c>
      <c r="E92">
        <v>111.6</v>
      </c>
      <c r="F92">
        <v>123.15</v>
      </c>
      <c r="G92">
        <v>7.78</v>
      </c>
      <c r="H92">
        <v>3</v>
      </c>
      <c r="I92" t="str">
        <f>+A92&amp;"Q"&amp;H92</f>
        <v>2023Q3</v>
      </c>
      <c r="J92" s="1">
        <f>+EOMONTH(DATE(A92,9,1),0)</f>
        <v>45199</v>
      </c>
    </row>
    <row r="93" spans="1:10" x14ac:dyDescent="0.3">
      <c r="A93">
        <f t="shared" si="2"/>
        <v>2023</v>
      </c>
      <c r="B93">
        <f t="shared" si="3"/>
        <v>8</v>
      </c>
      <c r="C93" s="1">
        <v>45169</v>
      </c>
      <c r="D93">
        <v>669645</v>
      </c>
      <c r="E93">
        <v>81.5</v>
      </c>
      <c r="F93">
        <v>123.45</v>
      </c>
      <c r="G93">
        <v>7.9</v>
      </c>
      <c r="H93">
        <v>3</v>
      </c>
      <c r="I93" t="str">
        <f>+A93&amp;"Q"&amp;H93</f>
        <v>2023Q3</v>
      </c>
      <c r="J93" s="1">
        <f>+EOMONTH(DATE(A93,9,1),0)</f>
        <v>45199</v>
      </c>
    </row>
    <row r="94" spans="1:10" x14ac:dyDescent="0.3">
      <c r="A94">
        <f t="shared" si="2"/>
        <v>2023</v>
      </c>
      <c r="B94">
        <f t="shared" si="3"/>
        <v>9</v>
      </c>
      <c r="C94" s="1">
        <v>45199</v>
      </c>
      <c r="D94">
        <v>739665</v>
      </c>
      <c r="E94">
        <v>123.5</v>
      </c>
      <c r="F94">
        <v>123.58</v>
      </c>
      <c r="G94">
        <v>7.87</v>
      </c>
      <c r="H94">
        <v>3</v>
      </c>
      <c r="I94" t="str">
        <f>+A94&amp;"Q"&amp;H94</f>
        <v>2023Q3</v>
      </c>
      <c r="J94" s="1">
        <f>+EOMONTH(DATE(A94,9,1),0)</f>
        <v>45199</v>
      </c>
    </row>
    <row r="95" spans="1:10" x14ac:dyDescent="0.3">
      <c r="A95">
        <f t="shared" si="2"/>
        <v>2023</v>
      </c>
      <c r="B95">
        <f t="shared" si="3"/>
        <v>10</v>
      </c>
      <c r="C95" s="1">
        <v>45230</v>
      </c>
      <c r="D95">
        <v>733978</v>
      </c>
      <c r="E95">
        <v>120.9</v>
      </c>
      <c r="F95">
        <v>123.69</v>
      </c>
      <c r="G95">
        <v>7.89</v>
      </c>
      <c r="H95">
        <v>4</v>
      </c>
      <c r="I95" t="str">
        <f>+A95&amp;"Q"&amp;H95</f>
        <v>2023Q4</v>
      </c>
      <c r="J95" s="1">
        <f>+EOMONTH(DATE(A95,12,1),0)</f>
        <v>45291</v>
      </c>
    </row>
    <row r="96" spans="1:10" x14ac:dyDescent="0.3">
      <c r="A96">
        <f t="shared" si="2"/>
        <v>2023</v>
      </c>
      <c r="B96">
        <f t="shared" si="3"/>
        <v>11</v>
      </c>
      <c r="C96" s="1">
        <v>45260</v>
      </c>
      <c r="D96">
        <v>760552</v>
      </c>
      <c r="E96">
        <v>128.30000000000001</v>
      </c>
      <c r="F96">
        <v>123.62</v>
      </c>
      <c r="G96">
        <v>7.84</v>
      </c>
      <c r="H96">
        <v>4</v>
      </c>
      <c r="I96" t="str">
        <f>+A96&amp;"Q"&amp;H96</f>
        <v>2023Q4</v>
      </c>
      <c r="J96" s="1">
        <f>+EOMONTH(DATE(A96,12,1),0)</f>
        <v>45291</v>
      </c>
    </row>
    <row r="97" spans="1:10" x14ac:dyDescent="0.3">
      <c r="A97">
        <f t="shared" si="2"/>
        <v>2023</v>
      </c>
      <c r="B97">
        <f t="shared" si="3"/>
        <v>12</v>
      </c>
      <c r="C97" s="1">
        <v>45291</v>
      </c>
      <c r="D97">
        <v>737828</v>
      </c>
      <c r="E97">
        <v>91.5</v>
      </c>
      <c r="F97">
        <v>123.53</v>
      </c>
      <c r="G97">
        <v>7.69</v>
      </c>
      <c r="H97">
        <v>4</v>
      </c>
      <c r="I97" t="str">
        <f>+A97&amp;"Q"&amp;H97</f>
        <v>2023Q4</v>
      </c>
      <c r="J97" s="1">
        <f>+EOMONTH(DATE(A97,12,1),0)</f>
        <v>45291</v>
      </c>
    </row>
    <row r="98" spans="1:10" x14ac:dyDescent="0.3">
      <c r="A98">
        <f t="shared" si="2"/>
        <v>2024</v>
      </c>
      <c r="B98">
        <f t="shared" si="3"/>
        <v>1</v>
      </c>
      <c r="C98" s="1">
        <v>45322</v>
      </c>
      <c r="D98">
        <v>738717</v>
      </c>
      <c r="E98">
        <v>99.2</v>
      </c>
      <c r="F98">
        <v>123.79</v>
      </c>
      <c r="G98">
        <v>8.01</v>
      </c>
      <c r="H98">
        <v>1</v>
      </c>
      <c r="I98" t="str">
        <f>+A98&amp;"Q"&amp;H98</f>
        <v>2024Q1</v>
      </c>
      <c r="J98" s="1">
        <f>+EOMONTH(DATE(A98,3,1),0)</f>
        <v>45382</v>
      </c>
    </row>
    <row r="99" spans="1:10" x14ac:dyDescent="0.3">
      <c r="A99">
        <f t="shared" si="2"/>
        <v>2024</v>
      </c>
      <c r="B99">
        <f t="shared" si="3"/>
        <v>2</v>
      </c>
      <c r="C99" s="1">
        <v>45351</v>
      </c>
      <c r="D99">
        <v>763208</v>
      </c>
      <c r="E99">
        <v>115.3</v>
      </c>
      <c r="F99">
        <v>123.91</v>
      </c>
      <c r="G99">
        <v>7.9</v>
      </c>
      <c r="H99">
        <v>1</v>
      </c>
      <c r="I99" t="str">
        <f>+A99&amp;"Q"&amp;H99</f>
        <v>2024Q1</v>
      </c>
      <c r="J99" s="1">
        <f>+EOMONTH(DATE(A99,3,1),0)</f>
        <v>45382</v>
      </c>
    </row>
    <row r="100" spans="1:10" x14ac:dyDescent="0.3">
      <c r="A100">
        <f t="shared" si="2"/>
        <v>2024</v>
      </c>
      <c r="B100">
        <f t="shared" si="3"/>
        <v>3</v>
      </c>
      <c r="C100" s="1">
        <v>45382</v>
      </c>
      <c r="D100">
        <v>895449</v>
      </c>
      <c r="E100">
        <v>122.5</v>
      </c>
      <c r="F100">
        <v>123.88</v>
      </c>
      <c r="G100">
        <v>7.81</v>
      </c>
      <c r="H100">
        <v>1</v>
      </c>
      <c r="I100" t="str">
        <f>+A100&amp;"Q"&amp;H100</f>
        <v>2024Q1</v>
      </c>
      <c r="J100" s="1">
        <f>+EOMONTH(DATE(A100,3,1),0)</f>
        <v>45382</v>
      </c>
    </row>
    <row r="101" spans="1:10" x14ac:dyDescent="0.3">
      <c r="A101">
        <f t="shared" si="2"/>
        <v>2024</v>
      </c>
      <c r="B101">
        <f t="shared" si="3"/>
        <v>4</v>
      </c>
      <c r="C101" s="1">
        <v>45412</v>
      </c>
      <c r="D101">
        <v>784003</v>
      </c>
      <c r="E101">
        <v>113.2</v>
      </c>
      <c r="F101">
        <v>123.65</v>
      </c>
      <c r="G101">
        <v>7.86</v>
      </c>
      <c r="H101">
        <v>2</v>
      </c>
      <c r="I101" t="str">
        <f>+A101&amp;"Q"&amp;H101</f>
        <v>2024Q2</v>
      </c>
      <c r="J101" s="1">
        <f>+EOMONTH(DATE(A101,6,1),0)</f>
        <v>45473</v>
      </c>
    </row>
    <row r="102" spans="1:10" x14ac:dyDescent="0.3">
      <c r="A102">
        <f t="shared" si="2"/>
        <v>2024</v>
      </c>
      <c r="B102">
        <f t="shared" si="3"/>
        <v>5</v>
      </c>
      <c r="C102" s="1">
        <v>45443</v>
      </c>
      <c r="D102">
        <v>779485</v>
      </c>
      <c r="E102">
        <v>102.7</v>
      </c>
      <c r="F102">
        <v>123.54</v>
      </c>
      <c r="G102">
        <v>7.92</v>
      </c>
      <c r="H102">
        <v>2</v>
      </c>
      <c r="I102" t="str">
        <f>+A102&amp;"Q"&amp;H102</f>
        <v>2024Q2</v>
      </c>
      <c r="J102" s="1">
        <f>+EOMONTH(DATE(A102,6,1),0)</f>
        <v>45473</v>
      </c>
    </row>
    <row r="103" spans="1:10" x14ac:dyDescent="0.3">
      <c r="A103">
        <f t="shared" si="2"/>
        <v>2024</v>
      </c>
      <c r="B103">
        <f t="shared" si="3"/>
        <v>6</v>
      </c>
      <c r="C103" s="1">
        <v>45473</v>
      </c>
      <c r="D103">
        <v>934575</v>
      </c>
      <c r="E103">
        <v>113.3</v>
      </c>
      <c r="F103">
        <v>123.49</v>
      </c>
      <c r="G103">
        <v>7.69</v>
      </c>
      <c r="H103">
        <v>2</v>
      </c>
      <c r="I103" t="str">
        <f>+A103&amp;"Q"&amp;H103</f>
        <v>2024Q2</v>
      </c>
      <c r="J103" s="1">
        <f>+EOMONTH(DATE(A103,6,1),0)</f>
        <v>45473</v>
      </c>
    </row>
    <row r="104" spans="1:10" x14ac:dyDescent="0.3">
      <c r="A104">
        <f t="shared" si="2"/>
        <v>2024</v>
      </c>
      <c r="B104">
        <f t="shared" si="3"/>
        <v>7</v>
      </c>
      <c r="C104" s="1">
        <v>45504</v>
      </c>
      <c r="D104">
        <v>737045</v>
      </c>
      <c r="E104">
        <v>99.8</v>
      </c>
      <c r="F104">
        <v>123.73</v>
      </c>
      <c r="G104">
        <v>7.77</v>
      </c>
      <c r="H104">
        <v>3</v>
      </c>
      <c r="I104" t="str">
        <f>+A104&amp;"Q"&amp;H104</f>
        <v>2024Q3</v>
      </c>
      <c r="J104" s="1">
        <f>+EOMONTH(DATE(A104,9,1),0)</f>
        <v>45565</v>
      </c>
    </row>
    <row r="105" spans="1:10" x14ac:dyDescent="0.3">
      <c r="A105">
        <f t="shared" si="2"/>
        <v>2024</v>
      </c>
      <c r="B105">
        <f t="shared" si="3"/>
        <v>8</v>
      </c>
      <c r="C105" s="1">
        <v>45535</v>
      </c>
      <c r="D105">
        <v>535734</v>
      </c>
      <c r="E105">
        <v>79.3</v>
      </c>
      <c r="F105">
        <v>123.76</v>
      </c>
      <c r="G105">
        <v>7.82</v>
      </c>
      <c r="H105">
        <v>3</v>
      </c>
      <c r="I105" t="str">
        <f>+A105&amp;"Q"&amp;H105</f>
        <v>2024Q3</v>
      </c>
      <c r="J105" s="1">
        <f>+EOMONTH(DATE(A105,9,1),0)</f>
        <v>45565</v>
      </c>
    </row>
    <row r="106" spans="1:10" x14ac:dyDescent="0.3">
      <c r="A106">
        <f t="shared" si="2"/>
        <v>2024</v>
      </c>
      <c r="B106">
        <f t="shared" si="3"/>
        <v>9</v>
      </c>
      <c r="C106" s="1">
        <v>45565</v>
      </c>
      <c r="D106">
        <v>685875</v>
      </c>
      <c r="E106">
        <v>113.3</v>
      </c>
      <c r="F106">
        <v>123.97</v>
      </c>
      <c r="G106">
        <v>7.75</v>
      </c>
      <c r="H106">
        <v>3</v>
      </c>
      <c r="I106" t="str">
        <f>+A106&amp;"Q"&amp;H106</f>
        <v>2024Q3</v>
      </c>
      <c r="J106" s="1">
        <f>+EOMONTH(DATE(A106,9,1),0)</f>
        <v>45565</v>
      </c>
    </row>
    <row r="107" spans="1:10" x14ac:dyDescent="0.3">
      <c r="A107">
        <f t="shared" si="2"/>
        <v>2024</v>
      </c>
      <c r="B107">
        <f t="shared" si="3"/>
        <v>10</v>
      </c>
      <c r="C107" s="1">
        <v>45596</v>
      </c>
      <c r="D107">
        <v>731580</v>
      </c>
      <c r="E107">
        <v>109.4</v>
      </c>
      <c r="F107">
        <v>123.98</v>
      </c>
      <c r="G107">
        <v>7.67</v>
      </c>
      <c r="H107">
        <v>4</v>
      </c>
      <c r="I107" t="str">
        <f>+A107&amp;"Q"&amp;H107</f>
        <v>2024Q4</v>
      </c>
      <c r="J107" s="1">
        <f>+EOMONTH(DATE(A107,12,1),0)</f>
        <v>45657</v>
      </c>
    </row>
    <row r="108" spans="1:10" x14ac:dyDescent="0.3">
      <c r="A108">
        <f t="shared" si="2"/>
        <v>2024</v>
      </c>
      <c r="B108">
        <f t="shared" si="3"/>
        <v>11</v>
      </c>
      <c r="C108" s="1">
        <v>45626</v>
      </c>
      <c r="D108">
        <v>734805</v>
      </c>
      <c r="E108">
        <v>117.9</v>
      </c>
      <c r="F108">
        <v>124.18</v>
      </c>
      <c r="G108">
        <v>7.58</v>
      </c>
      <c r="H108">
        <v>4</v>
      </c>
      <c r="I108" t="str">
        <f>+A108&amp;"Q"&amp;H108</f>
        <v>2024Q4</v>
      </c>
      <c r="J108" s="1">
        <f>+EOMONTH(DATE(A108,12,1),0)</f>
        <v>45657</v>
      </c>
    </row>
    <row r="109" spans="1:10" x14ac:dyDescent="0.3">
      <c r="A109">
        <f t="shared" si="2"/>
        <v>2024</v>
      </c>
      <c r="B109">
        <f t="shared" si="3"/>
        <v>12</v>
      </c>
      <c r="C109" s="1">
        <v>45657</v>
      </c>
      <c r="D109">
        <v>764064</v>
      </c>
      <c r="E109">
        <v>77.2</v>
      </c>
      <c r="F109">
        <v>124.15</v>
      </c>
      <c r="G109">
        <v>7.4</v>
      </c>
      <c r="H109">
        <v>4</v>
      </c>
      <c r="I109" t="str">
        <f>+A109&amp;"Q"&amp;H109</f>
        <v>2024Q4</v>
      </c>
      <c r="J109" s="1">
        <f>+EOMONTH(DATE(A109,12,1),0)</f>
        <v>45657</v>
      </c>
    </row>
    <row r="110" spans="1:10" x14ac:dyDescent="0.3">
      <c r="E110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7AFDA-C97A-4568-8E66-A52EF6A4B990}">
  <dimension ref="A1:K37"/>
  <sheetViews>
    <sheetView tabSelected="1" workbookViewId="0">
      <selection activeCell="J10" sqref="J10"/>
    </sheetView>
  </sheetViews>
  <sheetFormatPr defaultRowHeight="14.4" x14ac:dyDescent="0.3"/>
  <cols>
    <col min="1" max="1" width="5.33203125" bestFit="1" customWidth="1"/>
    <col min="2" max="2" width="14.6640625" bestFit="1" customWidth="1"/>
    <col min="3" max="3" width="14.5546875" bestFit="1" customWidth="1"/>
    <col min="4" max="4" width="19.33203125" style="1" bestFit="1" customWidth="1"/>
    <col min="5" max="5" width="30.44140625" bestFit="1" customWidth="1"/>
    <col min="6" max="6" width="33.109375" bestFit="1" customWidth="1"/>
    <col min="7" max="7" width="18.21875" bestFit="1" customWidth="1"/>
    <col min="8" max="8" width="40.88671875" bestFit="1" customWidth="1"/>
    <col min="9" max="9" width="9.5546875" bestFit="1" customWidth="1"/>
    <col min="10" max="10" width="26.6640625" bestFit="1" customWidth="1"/>
    <col min="11" max="11" width="18.77734375" bestFit="1" customWidth="1"/>
  </cols>
  <sheetData>
    <row r="1" spans="1:11" x14ac:dyDescent="0.3">
      <c r="A1" s="7" t="s">
        <v>0</v>
      </c>
      <c r="B1" s="7" t="s">
        <v>6</v>
      </c>
      <c r="C1" s="7" t="s">
        <v>8</v>
      </c>
      <c r="D1" s="8" t="s">
        <v>7</v>
      </c>
      <c r="E1" s="7" t="s">
        <v>4</v>
      </c>
      <c r="F1" s="7" t="s">
        <v>12</v>
      </c>
      <c r="G1" s="7" t="s">
        <v>3</v>
      </c>
      <c r="H1" s="7" t="s">
        <v>5</v>
      </c>
      <c r="I1" s="7" t="s">
        <v>9</v>
      </c>
      <c r="J1" s="7" t="s">
        <v>10</v>
      </c>
      <c r="K1" s="7" t="s">
        <v>13</v>
      </c>
    </row>
    <row r="2" spans="1:11" x14ac:dyDescent="0.3">
      <c r="A2">
        <v>2016</v>
      </c>
      <c r="B2">
        <v>1</v>
      </c>
      <c r="C2" t="str">
        <f>+A2&amp;"Q"&amp;B2</f>
        <v>2016Q1</v>
      </c>
      <c r="D2" s="1">
        <f>+EOMONTH(DATE(A2,3,1),0)</f>
        <v>42460</v>
      </c>
      <c r="E2" s="4">
        <f>+SUMIFS(Monthly!$D$2:$D$109,Monthly!$J$2:$J$109,Quarterly!D2)</f>
        <v>2706186</v>
      </c>
      <c r="F2" s="3">
        <f>+AVERAGEIFS(Monthly!$E$2:$E$109,Monthly!$J$2:$J$109,Quarterly!D2)</f>
        <v>134.83333333333334</v>
      </c>
      <c r="G2" s="3">
        <f>+AVERAGEIFS(Monthly!$F$2:$F$109,Monthly!$J$2:$J$109,Quarterly!D2)</f>
        <v>100.39666666666666</v>
      </c>
      <c r="H2" s="3">
        <f>+AVERAGEIFS(Monthly!$G$2:$G$109,Monthly!$J$2:$J$109,Quarterly!D2)</f>
        <v>5.9933333333333332</v>
      </c>
      <c r="I2" s="2">
        <v>2541092.7000000002</v>
      </c>
      <c r="J2">
        <v>0</v>
      </c>
      <c r="K2">
        <v>0</v>
      </c>
    </row>
    <row r="3" spans="1:11" x14ac:dyDescent="0.3">
      <c r="A3">
        <v>2016</v>
      </c>
      <c r="B3">
        <v>2</v>
      </c>
      <c r="C3" t="str">
        <f t="shared" ref="C3:C37" si="0">+A3&amp;"Q"&amp;B3</f>
        <v>2016Q2</v>
      </c>
      <c r="D3" s="1">
        <f>+EOMONTH(DATE(A3,6,1),0)</f>
        <v>42551</v>
      </c>
      <c r="E3" s="4">
        <f>+SUMIFS(Monthly!$D$2:$D$109,Monthly!$J$2:$J$109,Quarterly!D3)</f>
        <v>2975769</v>
      </c>
      <c r="F3" s="3">
        <f>+AVERAGEIFS(Monthly!$E$2:$E$109,Monthly!$J$2:$J$109,Quarterly!D3)</f>
        <v>135.96666666666667</v>
      </c>
      <c r="G3" s="3">
        <f>+AVERAGEIFS(Monthly!$F$2:$F$109,Monthly!$J$2:$J$109,Quarterly!D3)</f>
        <v>100.25333333333333</v>
      </c>
      <c r="H3" s="3">
        <f>+AVERAGEIFS(Monthly!$G$2:$G$109,Monthly!$J$2:$J$109,Quarterly!D3)</f>
        <v>5.8766666666666678</v>
      </c>
      <c r="I3" s="2">
        <v>2545975.1</v>
      </c>
      <c r="J3">
        <v>0</v>
      </c>
      <c r="K3">
        <v>0</v>
      </c>
    </row>
    <row r="4" spans="1:11" x14ac:dyDescent="0.3">
      <c r="A4">
        <v>2016</v>
      </c>
      <c r="B4">
        <v>3</v>
      </c>
      <c r="C4" t="str">
        <f t="shared" si="0"/>
        <v>2016Q3</v>
      </c>
      <c r="D4" s="1">
        <f>+EOMONTH(DATE(A4,9,1),0)</f>
        <v>42643</v>
      </c>
      <c r="E4" s="4">
        <f>+SUMIFS(Monthly!$D$2:$D$109,Monthly!$J$2:$J$109,Quarterly!D4)</f>
        <v>2319907</v>
      </c>
      <c r="F4" s="3">
        <f>+AVERAGEIFS(Monthly!$E$2:$E$109,Monthly!$J$2:$J$109,Quarterly!D4)</f>
        <v>124</v>
      </c>
      <c r="G4" s="3">
        <f>+AVERAGEIFS(Monthly!$F$2:$F$109,Monthly!$J$2:$J$109,Quarterly!D4)</f>
        <v>100.23666666666668</v>
      </c>
      <c r="H4" s="3">
        <f>+AVERAGEIFS(Monthly!$G$2:$G$109,Monthly!$J$2:$J$109,Quarterly!D4)</f>
        <v>5.82</v>
      </c>
      <c r="I4" s="2">
        <v>2558295.2000000002</v>
      </c>
      <c r="J4">
        <v>0</v>
      </c>
      <c r="K4">
        <v>0</v>
      </c>
    </row>
    <row r="5" spans="1:11" x14ac:dyDescent="0.3">
      <c r="A5">
        <v>2016</v>
      </c>
      <c r="B5">
        <v>4</v>
      </c>
      <c r="C5" t="str">
        <f t="shared" si="0"/>
        <v>2016Q4</v>
      </c>
      <c r="D5" s="1">
        <f>+EOMONTH(DATE(A5,12,1),0)</f>
        <v>42735</v>
      </c>
      <c r="E5" s="4">
        <f>+SUMIFS(Monthly!$D$2:$D$109,Monthly!$J$2:$J$109,Quarterly!D5)</f>
        <v>2457906</v>
      </c>
      <c r="F5" s="3">
        <f>+AVERAGEIFS(Monthly!$E$2:$E$109,Monthly!$J$2:$J$109,Quarterly!D5)</f>
        <v>127.40000000000002</v>
      </c>
      <c r="G5" s="3">
        <f>+AVERAGEIFS(Monthly!$F$2:$F$109,Monthly!$J$2:$J$109,Quarterly!D5)</f>
        <v>100.25666666666666</v>
      </c>
      <c r="H5" s="3">
        <f>+AVERAGEIFS(Monthly!$G$2:$G$109,Monthly!$J$2:$J$109,Quarterly!D5)</f>
        <v>5.5366666666666662</v>
      </c>
      <c r="I5" s="2">
        <v>2577850.2000000002</v>
      </c>
      <c r="J5">
        <v>0</v>
      </c>
      <c r="K5">
        <v>0</v>
      </c>
    </row>
    <row r="6" spans="1:11" x14ac:dyDescent="0.3">
      <c r="A6">
        <v>2017</v>
      </c>
      <c r="B6">
        <v>1</v>
      </c>
      <c r="C6" t="str">
        <f t="shared" si="0"/>
        <v>2017Q1</v>
      </c>
      <c r="D6" s="1">
        <f>+EOMONTH(DATE(A6,3,1),0)</f>
        <v>42825</v>
      </c>
      <c r="E6" s="4">
        <f>+SUMIFS(Monthly!$D$2:$D$109,Monthly!$J$2:$J$109,Quarterly!D6)</f>
        <v>2924412</v>
      </c>
      <c r="F6" s="3">
        <f>+AVERAGEIFS(Monthly!$E$2:$E$109,Monthly!$J$2:$J$109,Quarterly!D6)</f>
        <v>134.43333333333334</v>
      </c>
      <c r="G6" s="3">
        <f>+AVERAGEIFS(Monthly!$F$2:$F$109,Monthly!$J$2:$J$109,Quarterly!D6)</f>
        <v>100.80333333333333</v>
      </c>
      <c r="H6" s="3">
        <f>+AVERAGEIFS(Monthly!$G$2:$G$109,Monthly!$J$2:$J$109,Quarterly!D6)</f>
        <v>5.6566666666666663</v>
      </c>
      <c r="I6" s="2">
        <v>2598643.9</v>
      </c>
      <c r="J6">
        <v>0</v>
      </c>
      <c r="K6">
        <v>0</v>
      </c>
    </row>
    <row r="7" spans="1:11" x14ac:dyDescent="0.3">
      <c r="A7">
        <v>2017</v>
      </c>
      <c r="B7">
        <v>2</v>
      </c>
      <c r="C7" t="str">
        <f t="shared" si="0"/>
        <v>2017Q2</v>
      </c>
      <c r="D7" s="1">
        <f>+EOMONTH(DATE(A7,6,1),0)</f>
        <v>42916</v>
      </c>
      <c r="E7" s="4">
        <f>+SUMIFS(Monthly!$D$2:$D$109,Monthly!$J$2:$J$109,Quarterly!D7)</f>
        <v>3061756</v>
      </c>
      <c r="F7" s="3">
        <f>+AVERAGEIFS(Monthly!$E$2:$E$109,Monthly!$J$2:$J$109,Quarterly!D7)</f>
        <v>136.29999999999998</v>
      </c>
      <c r="G7" s="3">
        <f>+AVERAGEIFS(Monthly!$F$2:$F$109,Monthly!$J$2:$J$109,Quarterly!D7)</f>
        <v>100.90333333333332</v>
      </c>
      <c r="H7" s="3">
        <f>+AVERAGEIFS(Monthly!$G$2:$G$109,Monthly!$J$2:$J$109,Quarterly!D7)</f>
        <v>5.6033333333333344</v>
      </c>
      <c r="I7" s="2">
        <v>2615876.2999999998</v>
      </c>
      <c r="J7">
        <v>0</v>
      </c>
      <c r="K7">
        <v>0</v>
      </c>
    </row>
    <row r="8" spans="1:11" x14ac:dyDescent="0.3">
      <c r="A8">
        <v>2017</v>
      </c>
      <c r="B8">
        <v>3</v>
      </c>
      <c r="C8" t="str">
        <f t="shared" si="0"/>
        <v>2017Q3</v>
      </c>
      <c r="D8" s="1">
        <f>+EOMONTH(DATE(A8,9,1),0)</f>
        <v>43008</v>
      </c>
      <c r="E8" s="4">
        <f>+SUMIFS(Monthly!$D$2:$D$109,Monthly!$J$2:$J$109,Quarterly!D8)</f>
        <v>2412994</v>
      </c>
      <c r="F8" s="3">
        <f>+AVERAGEIFS(Monthly!$E$2:$E$109,Monthly!$J$2:$J$109,Quarterly!D8)</f>
        <v>129.26666666666668</v>
      </c>
      <c r="G8" s="3">
        <f>+AVERAGEIFS(Monthly!$F$2:$F$109,Monthly!$J$2:$J$109,Quarterly!D8)</f>
        <v>101</v>
      </c>
      <c r="H8" s="3">
        <f>+AVERAGEIFS(Monthly!$G$2:$G$109,Monthly!$J$2:$J$109,Quarterly!D8)</f>
        <v>5.7333333333333334</v>
      </c>
      <c r="I8" s="2">
        <v>2635049.5</v>
      </c>
      <c r="J8">
        <v>0</v>
      </c>
      <c r="K8">
        <v>0</v>
      </c>
    </row>
    <row r="9" spans="1:11" x14ac:dyDescent="0.3">
      <c r="A9">
        <v>2017</v>
      </c>
      <c r="B9">
        <v>4</v>
      </c>
      <c r="C9" t="str">
        <f t="shared" si="0"/>
        <v>2017Q4</v>
      </c>
      <c r="D9" s="1">
        <f>+EOMONTH(DATE(A9,12,1),0)</f>
        <v>43100</v>
      </c>
      <c r="E9" s="4">
        <f>+SUMIFS(Monthly!$D$2:$D$109,Monthly!$J$2:$J$109,Quarterly!D9)</f>
        <v>2583738</v>
      </c>
      <c r="F9" s="3">
        <f>+AVERAGEIFS(Monthly!$E$2:$E$109,Monthly!$J$2:$J$109,Quarterly!D9)</f>
        <v>134.4</v>
      </c>
      <c r="G9" s="3">
        <f>+AVERAGEIFS(Monthly!$F$2:$F$109,Monthly!$J$2:$J$109,Quarterly!D9)</f>
        <v>101.21</v>
      </c>
      <c r="H9" s="3">
        <f>+AVERAGEIFS(Monthly!$G$2:$G$109,Monthly!$J$2:$J$109,Quarterly!D9)</f>
        <v>5.4766666666666666</v>
      </c>
      <c r="I9" s="2">
        <v>2656496.7999999998</v>
      </c>
      <c r="J9">
        <v>0</v>
      </c>
      <c r="K9">
        <v>0</v>
      </c>
    </row>
    <row r="10" spans="1:11" x14ac:dyDescent="0.3">
      <c r="A10">
        <v>2018</v>
      </c>
      <c r="B10">
        <v>1</v>
      </c>
      <c r="C10" t="str">
        <f t="shared" si="0"/>
        <v>2018Q1</v>
      </c>
      <c r="D10" s="1">
        <f>+EOMONTH(DATE(A10,3,1),0)</f>
        <v>43190</v>
      </c>
      <c r="E10" s="4">
        <f>+SUMIFS(Monthly!$D$2:$D$109,Monthly!$J$2:$J$109,Quarterly!D10)</f>
        <v>3032759</v>
      </c>
      <c r="F10" s="3">
        <f>+AVERAGEIFS(Monthly!$E$2:$E$109,Monthly!$J$2:$J$109,Quarterly!D10)</f>
        <v>139.83333333333334</v>
      </c>
      <c r="G10" s="3">
        <f>+AVERAGEIFS(Monthly!$F$2:$F$109,Monthly!$J$2:$J$109,Quarterly!D10)</f>
        <v>101.64999999999999</v>
      </c>
      <c r="H10" s="3">
        <f>+AVERAGEIFS(Monthly!$G$2:$G$109,Monthly!$J$2:$J$109,Quarterly!D10)</f>
        <v>5.6000000000000005</v>
      </c>
      <c r="I10" s="2">
        <v>2657658.7999999998</v>
      </c>
      <c r="J10">
        <v>0</v>
      </c>
      <c r="K10">
        <v>0</v>
      </c>
    </row>
    <row r="11" spans="1:11" x14ac:dyDescent="0.3">
      <c r="A11">
        <v>2018</v>
      </c>
      <c r="B11">
        <v>2</v>
      </c>
      <c r="C11" t="str">
        <f t="shared" si="0"/>
        <v>2018Q2</v>
      </c>
      <c r="D11" s="1">
        <f>+EOMONTH(DATE(A11,6,1),0)</f>
        <v>43281</v>
      </c>
      <c r="E11" s="4">
        <f>+SUMIFS(Monthly!$D$2:$D$109,Monthly!$J$2:$J$109,Quarterly!D11)</f>
        <v>3190822</v>
      </c>
      <c r="F11" s="3">
        <f>+AVERAGEIFS(Monthly!$E$2:$E$109,Monthly!$J$2:$J$109,Quarterly!D11)</f>
        <v>141.46666666666667</v>
      </c>
      <c r="G11" s="3">
        <f>+AVERAGEIFS(Monthly!$F$2:$F$109,Monthly!$J$2:$J$109,Quarterly!D11)</f>
        <v>102.14999999999999</v>
      </c>
      <c r="H11" s="3">
        <f>+AVERAGEIFS(Monthly!$G$2:$G$109,Monthly!$J$2:$J$109,Quarterly!D11)</f>
        <v>5.626666666666666</v>
      </c>
      <c r="I11" s="2">
        <v>2671288.2999999998</v>
      </c>
      <c r="J11">
        <v>0</v>
      </c>
      <c r="K11">
        <v>0</v>
      </c>
    </row>
    <row r="12" spans="1:11" x14ac:dyDescent="0.3">
      <c r="A12">
        <v>2018</v>
      </c>
      <c r="B12">
        <v>3</v>
      </c>
      <c r="C12" t="str">
        <f t="shared" si="0"/>
        <v>2018Q3</v>
      </c>
      <c r="D12" s="1">
        <f>+EOMONTH(DATE(A12,9,1),0)</f>
        <v>43373</v>
      </c>
      <c r="E12" s="4">
        <f>+SUMIFS(Monthly!$D$2:$D$109,Monthly!$J$2:$J$109,Quarterly!D12)</f>
        <v>2520328</v>
      </c>
      <c r="F12" s="3">
        <f>+AVERAGEIFS(Monthly!$E$2:$E$109,Monthly!$J$2:$J$109,Quarterly!D12)</f>
        <v>120.53333333333335</v>
      </c>
      <c r="G12" s="3">
        <f>+AVERAGEIFS(Monthly!$F$2:$F$109,Monthly!$J$2:$J$109,Quarterly!D12)</f>
        <v>102.52666666666669</v>
      </c>
      <c r="H12" s="3">
        <f>+AVERAGEIFS(Monthly!$G$2:$G$109,Monthly!$J$2:$J$109,Quarterly!D12)</f>
        <v>5.7233333333333336</v>
      </c>
      <c r="I12" s="2">
        <v>2673362.2999999998</v>
      </c>
      <c r="J12">
        <v>0</v>
      </c>
      <c r="K12">
        <v>0</v>
      </c>
    </row>
    <row r="13" spans="1:11" x14ac:dyDescent="0.3">
      <c r="A13">
        <v>2018</v>
      </c>
      <c r="B13">
        <v>4</v>
      </c>
      <c r="C13" t="str">
        <f t="shared" si="0"/>
        <v>2018Q4</v>
      </c>
      <c r="D13" s="1">
        <f>+EOMONTH(DATE(A13,12,1),0)</f>
        <v>43465</v>
      </c>
      <c r="E13" s="4">
        <f>+SUMIFS(Monthly!$D$2:$D$109,Monthly!$J$2:$J$109,Quarterly!D13)</f>
        <v>2380776</v>
      </c>
      <c r="F13" s="3">
        <f>+AVERAGEIFS(Monthly!$E$2:$E$109,Monthly!$J$2:$J$109,Quarterly!D13)</f>
        <v>126.39999999999999</v>
      </c>
      <c r="G13" s="3">
        <f>+AVERAGEIFS(Monthly!$F$2:$F$109,Monthly!$J$2:$J$109,Quarterly!D13)</f>
        <v>102.93333333333334</v>
      </c>
      <c r="H13" s="3">
        <f>+AVERAGEIFS(Monthly!$G$2:$G$109,Monthly!$J$2:$J$109,Quarterly!D13)</f>
        <v>5.5366666666666662</v>
      </c>
      <c r="I13" s="2">
        <v>2687802.8</v>
      </c>
      <c r="J13">
        <v>0</v>
      </c>
      <c r="K13">
        <v>0</v>
      </c>
    </row>
    <row r="14" spans="1:11" x14ac:dyDescent="0.3">
      <c r="A14">
        <v>2019</v>
      </c>
      <c r="B14">
        <v>1</v>
      </c>
      <c r="C14" t="str">
        <f t="shared" si="0"/>
        <v>2019Q1</v>
      </c>
      <c r="D14" s="1">
        <f>+EOMONTH(DATE(A14,3,1),0)</f>
        <v>43555</v>
      </c>
      <c r="E14" s="4">
        <f>+SUMIFS(Monthly!$D$2:$D$109,Monthly!$J$2:$J$109,Quarterly!D14)</f>
        <v>2914135</v>
      </c>
      <c r="F14" s="3">
        <f>+AVERAGEIFS(Monthly!$E$2:$E$109,Monthly!$J$2:$J$109,Quarterly!D14)</f>
        <v>132.16666666666666</v>
      </c>
      <c r="G14" s="3">
        <f>+AVERAGEIFS(Monthly!$F$2:$F$109,Monthly!$J$2:$J$109,Quarterly!D14)</f>
        <v>103.42666666666668</v>
      </c>
      <c r="H14" s="3">
        <f>+AVERAGEIFS(Monthly!$G$2:$G$109,Monthly!$J$2:$J$109,Quarterly!D14)</f>
        <v>5.669999999999999</v>
      </c>
      <c r="I14" s="2">
        <v>2707181.1</v>
      </c>
      <c r="J14">
        <v>0</v>
      </c>
      <c r="K14">
        <v>0</v>
      </c>
    </row>
    <row r="15" spans="1:11" x14ac:dyDescent="0.3">
      <c r="A15">
        <v>2019</v>
      </c>
      <c r="B15">
        <v>2</v>
      </c>
      <c r="C15" t="str">
        <f t="shared" si="0"/>
        <v>2019Q2</v>
      </c>
      <c r="D15" s="1">
        <f>+EOMONTH(DATE(A15,6,1),0)</f>
        <v>43646</v>
      </c>
      <c r="E15" s="4">
        <f>+SUMIFS(Monthly!$D$2:$D$109,Monthly!$J$2:$J$109,Quarterly!D15)</f>
        <v>3139990</v>
      </c>
      <c r="F15" s="3">
        <f>+AVERAGEIFS(Monthly!$E$2:$E$109,Monthly!$J$2:$J$109,Quarterly!D15)</f>
        <v>134.19999999999999</v>
      </c>
      <c r="G15" s="3">
        <f>+AVERAGEIFS(Monthly!$F$2:$F$109,Monthly!$J$2:$J$109,Quarterly!D15)</f>
        <v>103.58666666666666</v>
      </c>
      <c r="H15" s="3">
        <f>+AVERAGEIFS(Monthly!$G$2:$G$109,Monthly!$J$2:$J$109,Quarterly!D15)</f>
        <v>5.666666666666667</v>
      </c>
      <c r="I15" s="2">
        <v>2716970.9</v>
      </c>
      <c r="J15">
        <v>0</v>
      </c>
      <c r="K15">
        <v>0</v>
      </c>
    </row>
    <row r="16" spans="1:11" x14ac:dyDescent="0.3">
      <c r="A16">
        <v>2019</v>
      </c>
      <c r="B16">
        <v>3</v>
      </c>
      <c r="C16" t="str">
        <f t="shared" si="0"/>
        <v>2019Q3</v>
      </c>
      <c r="D16" s="1">
        <f>+EOMONTH(DATE(A16,9,1),0)</f>
        <v>43738</v>
      </c>
      <c r="E16" s="4">
        <f>+SUMIFS(Monthly!$D$2:$D$109,Monthly!$J$2:$J$109,Quarterly!D16)</f>
        <v>2564660</v>
      </c>
      <c r="F16" s="3">
        <f>+AVERAGEIFS(Monthly!$E$2:$E$109,Monthly!$J$2:$J$109,Quarterly!D16)</f>
        <v>119.16666666666667</v>
      </c>
      <c r="G16" s="3">
        <f>+AVERAGEIFS(Monthly!$F$2:$F$109,Monthly!$J$2:$J$109,Quarterly!D16)</f>
        <v>103.55333333333334</v>
      </c>
      <c r="H16" s="3">
        <f>+AVERAGEIFS(Monthly!$G$2:$G$109,Monthly!$J$2:$J$109,Quarterly!D16)</f>
        <v>5.7166666666666677</v>
      </c>
      <c r="I16" s="2">
        <v>2722063.3</v>
      </c>
      <c r="J16">
        <v>0</v>
      </c>
      <c r="K16">
        <v>0</v>
      </c>
    </row>
    <row r="17" spans="1:11" x14ac:dyDescent="0.3">
      <c r="A17">
        <v>2019</v>
      </c>
      <c r="B17">
        <v>4</v>
      </c>
      <c r="C17" t="str">
        <f t="shared" si="0"/>
        <v>2019Q4</v>
      </c>
      <c r="D17" s="1">
        <f>+EOMONTH(DATE(A17,12,1),0)</f>
        <v>43830</v>
      </c>
      <c r="E17" s="4">
        <f>+SUMIFS(Monthly!$D$2:$D$109,Monthly!$J$2:$J$109,Quarterly!D17)</f>
        <v>2667983</v>
      </c>
      <c r="F17" s="3">
        <f>+AVERAGEIFS(Monthly!$E$2:$E$109,Monthly!$J$2:$J$109,Quarterly!D17)</f>
        <v>120.26666666666669</v>
      </c>
      <c r="G17" s="3">
        <f>+AVERAGEIFS(Monthly!$F$2:$F$109,Monthly!$J$2:$J$109,Quarterly!D17)</f>
        <v>103.88</v>
      </c>
      <c r="H17" s="3">
        <f>+AVERAGEIFS(Monthly!$G$2:$G$109,Monthly!$J$2:$J$109,Quarterly!D17)</f>
        <v>5.46</v>
      </c>
      <c r="I17" s="2">
        <v>2719294.5</v>
      </c>
      <c r="J17">
        <v>0</v>
      </c>
      <c r="K17">
        <v>0</v>
      </c>
    </row>
    <row r="18" spans="1:11" x14ac:dyDescent="0.3">
      <c r="A18">
        <v>2020</v>
      </c>
      <c r="B18">
        <v>1</v>
      </c>
      <c r="C18" t="str">
        <f t="shared" si="0"/>
        <v>2020Q1</v>
      </c>
      <c r="D18" s="1">
        <f>+EOMONTH(DATE(A18,3,1),0)</f>
        <v>43921</v>
      </c>
      <c r="E18" s="4">
        <f>+SUMIFS(Monthly!$D$2:$D$109,Monthly!$J$2:$J$109,Quarterly!D18)</f>
        <v>2140735</v>
      </c>
      <c r="F18" s="3">
        <f>+AVERAGEIFS(Monthly!$E$2:$E$109,Monthly!$J$2:$J$109,Quarterly!D18)</f>
        <v>111.8</v>
      </c>
      <c r="G18" s="3">
        <f>+AVERAGEIFS(Monthly!$F$2:$F$109,Monthly!$J$2:$J$109,Quarterly!D18)</f>
        <v>104.39</v>
      </c>
      <c r="H18" s="3">
        <f>+AVERAGEIFS(Monthly!$G$2:$G$109,Monthly!$J$2:$J$109,Quarterly!D18)</f>
        <v>5.57</v>
      </c>
      <c r="I18" s="2">
        <v>2630897.7999999998</v>
      </c>
      <c r="J18">
        <v>1</v>
      </c>
      <c r="K18">
        <v>0</v>
      </c>
    </row>
    <row r="19" spans="1:11" x14ac:dyDescent="0.3">
      <c r="A19">
        <v>2020</v>
      </c>
      <c r="B19">
        <v>2</v>
      </c>
      <c r="C19" t="str">
        <f t="shared" si="0"/>
        <v>2020Q2</v>
      </c>
      <c r="D19" s="1">
        <f>+EOMONTH(DATE(A19,6,1),0)</f>
        <v>44012</v>
      </c>
      <c r="E19" s="4">
        <f>+SUMIFS(Monthly!$D$2:$D$109,Monthly!$J$2:$J$109,Quarterly!D19)</f>
        <v>1536623</v>
      </c>
      <c r="F19" s="3">
        <f>+AVERAGEIFS(Monthly!$E$2:$E$109,Monthly!$J$2:$J$109,Quarterly!D19)</f>
        <v>62.133333333333326</v>
      </c>
      <c r="G19" s="3">
        <f>+AVERAGEIFS(Monthly!$F$2:$F$109,Monthly!$J$2:$J$109,Quarterly!D19)</f>
        <v>104.70333333333333</v>
      </c>
      <c r="H19" s="3">
        <f>+AVERAGEIFS(Monthly!$G$2:$G$109,Monthly!$J$2:$J$109,Quarterly!D19)</f>
        <v>5.1000000000000005</v>
      </c>
      <c r="I19" s="2">
        <v>2338460.5</v>
      </c>
      <c r="J19">
        <v>1</v>
      </c>
      <c r="K19">
        <v>1</v>
      </c>
    </row>
    <row r="20" spans="1:11" x14ac:dyDescent="0.3">
      <c r="A20">
        <v>2020</v>
      </c>
      <c r="B20">
        <v>3</v>
      </c>
      <c r="C20" t="str">
        <f t="shared" si="0"/>
        <v>2020Q3</v>
      </c>
      <c r="D20" s="1">
        <f>+EOMONTH(DATE(A20,9,1),0)</f>
        <v>44104</v>
      </c>
      <c r="E20" s="4">
        <f>+SUMIFS(Monthly!$D$2:$D$109,Monthly!$J$2:$J$109,Quarterly!D20)</f>
        <v>2400935</v>
      </c>
      <c r="F20" s="3">
        <f>+AVERAGEIFS(Monthly!$E$2:$E$109,Monthly!$J$2:$J$109,Quarterly!D20)</f>
        <v>103.5</v>
      </c>
      <c r="G20" s="3">
        <f>+AVERAGEIFS(Monthly!$F$2:$F$109,Monthly!$J$2:$J$109,Quarterly!D20)</f>
        <v>104.59666666666668</v>
      </c>
      <c r="H20" s="3">
        <f>+AVERAGEIFS(Monthly!$G$2:$G$109,Monthly!$J$2:$J$109,Quarterly!D20)</f>
        <v>5.2600000000000007</v>
      </c>
      <c r="I20" s="2">
        <v>2608372</v>
      </c>
      <c r="J20">
        <v>1</v>
      </c>
      <c r="K20">
        <v>1</v>
      </c>
    </row>
    <row r="21" spans="1:11" x14ac:dyDescent="0.3">
      <c r="A21">
        <v>2020</v>
      </c>
      <c r="B21">
        <v>4</v>
      </c>
      <c r="C21" t="str">
        <f t="shared" si="0"/>
        <v>2020Q4</v>
      </c>
      <c r="D21" s="1">
        <f>+EOMONTH(DATE(A21,12,1),0)</f>
        <v>44196</v>
      </c>
      <c r="E21" s="4">
        <f>+SUMIFS(Monthly!$D$2:$D$109,Monthly!$J$2:$J$109,Quarterly!D21)</f>
        <v>2463225</v>
      </c>
      <c r="F21" s="3">
        <f>+AVERAGEIFS(Monthly!$E$2:$E$109,Monthly!$J$2:$J$109,Quarterly!D21)</f>
        <v>123.53333333333335</v>
      </c>
      <c r="G21" s="3">
        <f>+AVERAGEIFS(Monthly!$F$2:$F$109,Monthly!$J$2:$J$109,Quarterly!D21)</f>
        <v>104.90000000000002</v>
      </c>
      <c r="H21" s="3">
        <f>+AVERAGEIFS(Monthly!$G$2:$G$109,Monthly!$J$2:$J$109,Quarterly!D21)</f>
        <v>5.1766666666666659</v>
      </c>
      <c r="I21" s="2">
        <v>2617997.5</v>
      </c>
      <c r="J21">
        <v>1</v>
      </c>
      <c r="K21">
        <v>1</v>
      </c>
    </row>
    <row r="22" spans="1:11" x14ac:dyDescent="0.3">
      <c r="A22">
        <v>2021</v>
      </c>
      <c r="B22">
        <v>1</v>
      </c>
      <c r="C22" t="str">
        <f t="shared" si="0"/>
        <v>2021Q1</v>
      </c>
      <c r="D22" s="1">
        <f>+EOMONTH(DATE(A22,3,1),0)</f>
        <v>44286</v>
      </c>
      <c r="E22" s="4">
        <f>+SUMIFS(Monthly!$D$2:$D$109,Monthly!$J$2:$J$109,Quarterly!D22)</f>
        <v>2199573</v>
      </c>
      <c r="F22" s="3">
        <f>+AVERAGEIFS(Monthly!$E$2:$E$109,Monthly!$J$2:$J$109,Quarterly!D22)</f>
        <v>115.33333333333333</v>
      </c>
      <c r="G22" s="3">
        <f>+AVERAGEIFS(Monthly!$F$2:$F$109,Monthly!$J$2:$J$109,Quarterly!D22)</f>
        <v>106.21333333333332</v>
      </c>
      <c r="H22" s="3">
        <f>+AVERAGEIFS(Monthly!$G$2:$G$109,Monthly!$J$2:$J$109,Quarterly!D22)</f>
        <v>5.1966666666666663</v>
      </c>
      <c r="I22" s="2">
        <v>2638667.1</v>
      </c>
      <c r="J22">
        <v>1</v>
      </c>
      <c r="K22">
        <v>1</v>
      </c>
    </row>
    <row r="23" spans="1:11" x14ac:dyDescent="0.3">
      <c r="A23">
        <v>2021</v>
      </c>
      <c r="B23">
        <v>2</v>
      </c>
      <c r="C23" t="str">
        <f t="shared" si="0"/>
        <v>2021Q2</v>
      </c>
      <c r="D23" s="1">
        <f>+EOMONTH(DATE(A23,6,1),0)</f>
        <v>44377</v>
      </c>
      <c r="E23" s="4">
        <f>+SUMIFS(Monthly!$D$2:$D$109,Monthly!$J$2:$J$109,Quarterly!D23)</f>
        <v>2411778</v>
      </c>
      <c r="F23" s="3">
        <f>+AVERAGEIFS(Monthly!$E$2:$E$109,Monthly!$J$2:$J$109,Quarterly!D23)</f>
        <v>102.46666666666665</v>
      </c>
      <c r="G23" s="3">
        <f>+AVERAGEIFS(Monthly!$F$2:$F$109,Monthly!$J$2:$J$109,Quarterly!D23)</f>
        <v>107.05666666666667</v>
      </c>
      <c r="H23" s="3">
        <f>+AVERAGEIFS(Monthly!$G$2:$G$109,Monthly!$J$2:$J$109,Quarterly!D23)</f>
        <v>5.2133333333333338</v>
      </c>
      <c r="I23" s="2">
        <v>2695934.9</v>
      </c>
      <c r="J23">
        <v>1</v>
      </c>
      <c r="K23">
        <v>1</v>
      </c>
    </row>
    <row r="24" spans="1:11" x14ac:dyDescent="0.3">
      <c r="A24">
        <v>2021</v>
      </c>
      <c r="B24">
        <v>3</v>
      </c>
      <c r="C24" t="str">
        <f t="shared" si="0"/>
        <v>2021Q3</v>
      </c>
      <c r="D24" s="1">
        <f>+EOMONTH(DATE(A24,9,1),0)</f>
        <v>44469</v>
      </c>
      <c r="E24" s="4">
        <f>+SUMIFS(Monthly!$D$2:$D$109,Monthly!$J$2:$J$109,Quarterly!D24)</f>
        <v>1832209</v>
      </c>
      <c r="F24" s="3">
        <f>+AVERAGEIFS(Monthly!$E$2:$E$109,Monthly!$J$2:$J$109,Quarterly!D24)</f>
        <v>81.8</v>
      </c>
      <c r="G24" s="3">
        <f>+AVERAGEIFS(Monthly!$F$2:$F$109,Monthly!$J$2:$J$109,Quarterly!D24)</f>
        <v>108.10666666666667</v>
      </c>
      <c r="H24" s="3">
        <f>+AVERAGEIFS(Monthly!$G$2:$G$109,Monthly!$J$2:$J$109,Quarterly!D24)</f>
        <v>5.29</v>
      </c>
      <c r="I24" s="2">
        <v>2743277.5</v>
      </c>
      <c r="J24">
        <v>1</v>
      </c>
      <c r="K24">
        <v>1</v>
      </c>
    </row>
    <row r="25" spans="1:11" x14ac:dyDescent="0.3">
      <c r="A25">
        <v>2021</v>
      </c>
      <c r="B25">
        <v>4</v>
      </c>
      <c r="C25" t="str">
        <f t="shared" si="0"/>
        <v>2021Q4</v>
      </c>
      <c r="D25" s="1">
        <f>+EOMONTH(DATE(A25,12,1),0)</f>
        <v>44561</v>
      </c>
      <c r="E25" s="4">
        <f>+SUMIFS(Monthly!$D$2:$D$109,Monthly!$J$2:$J$109,Quarterly!D25)</f>
        <v>1849030</v>
      </c>
      <c r="F25" s="3">
        <f>+AVERAGEIFS(Monthly!$E$2:$E$109,Monthly!$J$2:$J$109,Quarterly!D25)</f>
        <v>100.43333333333332</v>
      </c>
      <c r="G25" s="3">
        <f>+AVERAGEIFS(Monthly!$F$2:$F$109,Monthly!$J$2:$J$109,Quarterly!D25)</f>
        <v>109.91333333333334</v>
      </c>
      <c r="H25" s="3">
        <f>+AVERAGEIFS(Monthly!$G$2:$G$109,Monthly!$J$2:$J$109,Quarterly!D25)</f>
        <v>5.166666666666667</v>
      </c>
      <c r="I25" s="2">
        <v>2765397.4</v>
      </c>
      <c r="J25">
        <v>1</v>
      </c>
      <c r="K25">
        <v>1</v>
      </c>
    </row>
    <row r="26" spans="1:11" x14ac:dyDescent="0.3">
      <c r="A26">
        <v>2022</v>
      </c>
      <c r="B26">
        <v>1</v>
      </c>
      <c r="C26" t="str">
        <f t="shared" si="0"/>
        <v>2022Q1</v>
      </c>
      <c r="D26" s="1">
        <f>+EOMONTH(DATE(A26,3,1),0)</f>
        <v>44651</v>
      </c>
      <c r="E26" s="4">
        <f>+SUMIFS(Monthly!$D$2:$D$109,Monthly!$J$2:$J$109,Quarterly!D26)</f>
        <v>1928306</v>
      </c>
      <c r="F26" s="3">
        <f>+AVERAGEIFS(Monthly!$E$2:$E$109,Monthly!$J$2:$J$109,Quarterly!D26)</f>
        <v>100.53333333333335</v>
      </c>
      <c r="G26" s="3">
        <f>+AVERAGEIFS(Monthly!$F$2:$F$109,Monthly!$J$2:$J$109,Quarterly!D26)</f>
        <v>112.66333333333334</v>
      </c>
      <c r="H26" s="3">
        <f>+AVERAGEIFS(Monthly!$G$2:$G$109,Monthly!$J$2:$J$109,Quarterly!D26)</f>
        <v>5.27</v>
      </c>
      <c r="I26" s="2">
        <v>2785642.9</v>
      </c>
      <c r="J26">
        <v>1</v>
      </c>
      <c r="K26">
        <v>1</v>
      </c>
    </row>
    <row r="27" spans="1:11" x14ac:dyDescent="0.3">
      <c r="A27">
        <v>2022</v>
      </c>
      <c r="B27">
        <v>2</v>
      </c>
      <c r="C27" t="str">
        <f t="shared" si="0"/>
        <v>2022Q2</v>
      </c>
      <c r="D27" s="1">
        <f>+EOMONTH(DATE(A27,6,1),0)</f>
        <v>44742</v>
      </c>
      <c r="E27" s="4">
        <f>+SUMIFS(Monthly!$D$2:$D$109,Monthly!$J$2:$J$109,Quarterly!D27)</f>
        <v>2020598</v>
      </c>
      <c r="F27" s="3">
        <f>+AVERAGEIFS(Monthly!$E$2:$E$109,Monthly!$J$2:$J$109,Quarterly!D27)</f>
        <v>103.83333333333333</v>
      </c>
      <c r="G27" s="3">
        <f>+AVERAGEIFS(Monthly!$F$2:$F$109,Monthly!$J$2:$J$109,Quarterly!D27)</f>
        <v>115.35666666666667</v>
      </c>
      <c r="H27" s="3">
        <f>+AVERAGEIFS(Monthly!$G$2:$G$109,Monthly!$J$2:$J$109,Quarterly!D27)</f>
        <v>5.5233333333333334</v>
      </c>
      <c r="I27" s="2">
        <v>2811827</v>
      </c>
      <c r="J27">
        <v>1</v>
      </c>
      <c r="K27">
        <v>1</v>
      </c>
    </row>
    <row r="28" spans="1:11" x14ac:dyDescent="0.3">
      <c r="A28">
        <v>2022</v>
      </c>
      <c r="B28">
        <v>3</v>
      </c>
      <c r="C28" t="str">
        <f t="shared" si="0"/>
        <v>2022Q3</v>
      </c>
      <c r="D28" s="1">
        <f>+EOMONTH(DATE(A28,9,1),0)</f>
        <v>44834</v>
      </c>
      <c r="E28" s="4">
        <f>+SUMIFS(Monthly!$D$2:$D$109,Monthly!$J$2:$J$109,Quarterly!D28)</f>
        <v>1858875</v>
      </c>
      <c r="F28" s="3">
        <f>+AVERAGEIFS(Monthly!$E$2:$E$109,Monthly!$J$2:$J$109,Quarterly!D28)</f>
        <v>99.733333333333334</v>
      </c>
      <c r="G28" s="3">
        <f>+AVERAGEIFS(Monthly!$F$2:$F$109,Monthly!$J$2:$J$109,Quarterly!D28)</f>
        <v>117.74666666666667</v>
      </c>
      <c r="H28" s="3">
        <f>+AVERAGEIFS(Monthly!$G$2:$G$109,Monthly!$J$2:$J$109,Quarterly!D28)</f>
        <v>5.9133333333333331</v>
      </c>
      <c r="I28" s="2">
        <v>2824456.4</v>
      </c>
      <c r="J28">
        <v>1</v>
      </c>
      <c r="K28">
        <v>1</v>
      </c>
    </row>
    <row r="29" spans="1:11" x14ac:dyDescent="0.3">
      <c r="A29">
        <v>2022</v>
      </c>
      <c r="B29">
        <v>4</v>
      </c>
      <c r="C29" t="str">
        <f t="shared" si="0"/>
        <v>2022Q4</v>
      </c>
      <c r="D29" s="1">
        <f>+EOMONTH(DATE(A29,12,1),0)</f>
        <v>44926</v>
      </c>
      <c r="E29" s="4">
        <f>+SUMIFS(Monthly!$D$2:$D$109,Monthly!$J$2:$J$109,Quarterly!D29)</f>
        <v>2130498</v>
      </c>
      <c r="F29" s="3">
        <f>+AVERAGEIFS(Monthly!$E$2:$E$109,Monthly!$J$2:$J$109,Quarterly!D29)</f>
        <v>113.23333333333335</v>
      </c>
      <c r="G29" s="3">
        <f>+AVERAGEIFS(Monthly!$F$2:$F$109,Monthly!$J$2:$J$109,Quarterly!D29)</f>
        <v>119.85333333333334</v>
      </c>
      <c r="H29" s="3">
        <f>+AVERAGEIFS(Monthly!$G$2:$G$109,Monthly!$J$2:$J$109,Quarterly!D29)</f>
        <v>6.3966666666666656</v>
      </c>
      <c r="I29" s="2">
        <v>2823004.3</v>
      </c>
      <c r="J29">
        <v>1</v>
      </c>
      <c r="K29">
        <v>1</v>
      </c>
    </row>
    <row r="30" spans="1:11" x14ac:dyDescent="0.3">
      <c r="A30">
        <v>2023</v>
      </c>
      <c r="B30">
        <v>1</v>
      </c>
      <c r="C30" t="str">
        <f t="shared" si="0"/>
        <v>2023Q1</v>
      </c>
      <c r="D30" s="1">
        <f>+EOMONTH(DATE(A30,3,1),0)</f>
        <v>45016</v>
      </c>
      <c r="E30" s="4">
        <f>+SUMIFS(Monthly!$D$2:$D$109,Monthly!$J$2:$J$109,Quarterly!D30)</f>
        <v>2292905</v>
      </c>
      <c r="F30" s="3">
        <f>+AVERAGEIFS(Monthly!$E$2:$E$109,Monthly!$J$2:$J$109,Quarterly!D30)</f>
        <v>123.3</v>
      </c>
      <c r="G30" s="3">
        <f>+AVERAGEIFS(Monthly!$F$2:$F$109,Monthly!$J$2:$J$109,Quarterly!D30)</f>
        <v>121.64333333333333</v>
      </c>
      <c r="H30" s="3">
        <f>+AVERAGEIFS(Monthly!$G$2:$G$109,Monthly!$J$2:$J$109,Quarterly!D30)</f>
        <v>7.1066666666666665</v>
      </c>
      <c r="I30" s="2">
        <v>2822499.2</v>
      </c>
      <c r="J30">
        <v>1</v>
      </c>
      <c r="K30">
        <v>0</v>
      </c>
    </row>
    <row r="31" spans="1:11" x14ac:dyDescent="0.3">
      <c r="A31">
        <v>2023</v>
      </c>
      <c r="B31">
        <v>2</v>
      </c>
      <c r="C31" t="str">
        <f t="shared" si="0"/>
        <v>2023Q2</v>
      </c>
      <c r="D31" s="1">
        <f>+EOMONTH(DATE(A31,6,1),0)</f>
        <v>45107</v>
      </c>
      <c r="E31" s="4">
        <f>+SUMIFS(Monthly!$D$2:$D$109,Monthly!$J$2:$J$109,Quarterly!D31)</f>
        <v>2415153</v>
      </c>
      <c r="F31" s="3">
        <f>+AVERAGEIFS(Monthly!$E$2:$E$109,Monthly!$J$2:$J$109,Quarterly!D31)</f>
        <v>122.63333333333333</v>
      </c>
      <c r="G31" s="3">
        <f>+AVERAGEIFS(Monthly!$F$2:$F$109,Monthly!$J$2:$J$109,Quarterly!D31)</f>
        <v>122.69333333333334</v>
      </c>
      <c r="H31" s="3">
        <f>+AVERAGEIFS(Monthly!$G$2:$G$109,Monthly!$J$2:$J$109,Quarterly!D31)</f>
        <v>7.5133333333333328</v>
      </c>
      <c r="I31" s="2">
        <v>2828169.1</v>
      </c>
      <c r="J31">
        <v>1</v>
      </c>
      <c r="K31">
        <v>0</v>
      </c>
    </row>
    <row r="32" spans="1:11" x14ac:dyDescent="0.3">
      <c r="A32">
        <v>2023</v>
      </c>
      <c r="B32">
        <v>3</v>
      </c>
      <c r="C32" t="str">
        <f t="shared" si="0"/>
        <v>2023Q3</v>
      </c>
      <c r="D32" s="1">
        <f>+EOMONTH(DATE(A32,9,1),0)</f>
        <v>45199</v>
      </c>
      <c r="E32" s="4">
        <f>+SUMIFS(Monthly!$D$2:$D$109,Monthly!$J$2:$J$109,Quarterly!D32)</f>
        <v>2153938</v>
      </c>
      <c r="F32" s="3">
        <f>+AVERAGEIFS(Monthly!$E$2:$E$109,Monthly!$J$2:$J$109,Quarterly!D32)</f>
        <v>105.53333333333335</v>
      </c>
      <c r="G32" s="3">
        <f>+AVERAGEIFS(Monthly!$F$2:$F$109,Monthly!$J$2:$J$109,Quarterly!D32)</f>
        <v>123.39333333333333</v>
      </c>
      <c r="H32" s="3">
        <f>+AVERAGEIFS(Monthly!$G$2:$G$109,Monthly!$J$2:$J$109,Quarterly!D32)</f>
        <v>7.8500000000000005</v>
      </c>
      <c r="I32" s="2">
        <v>2827642.3</v>
      </c>
      <c r="J32">
        <v>1</v>
      </c>
      <c r="K32">
        <v>0</v>
      </c>
    </row>
    <row r="33" spans="1:11" x14ac:dyDescent="0.3">
      <c r="A33">
        <v>2023</v>
      </c>
      <c r="B33">
        <v>4</v>
      </c>
      <c r="C33" t="str">
        <f t="shared" si="0"/>
        <v>2023Q4</v>
      </c>
      <c r="D33" s="1">
        <f>+EOMONTH(DATE(A33,12,1),0)</f>
        <v>45291</v>
      </c>
      <c r="E33" s="4">
        <f>+SUMIFS(Monthly!$D$2:$D$109,Monthly!$J$2:$J$109,Quarterly!D33)</f>
        <v>2232358</v>
      </c>
      <c r="F33" s="3">
        <f>+AVERAGEIFS(Monthly!$E$2:$E$109,Monthly!$J$2:$J$109,Quarterly!D33)</f>
        <v>113.56666666666668</v>
      </c>
      <c r="G33" s="3">
        <f>+AVERAGEIFS(Monthly!$F$2:$F$109,Monthly!$J$2:$J$109,Quarterly!D33)</f>
        <v>123.61333333333334</v>
      </c>
      <c r="H33" s="3">
        <f>+AVERAGEIFS(Monthly!$G$2:$G$109,Monthly!$J$2:$J$109,Quarterly!D33)</f>
        <v>7.8066666666666675</v>
      </c>
      <c r="I33" s="2">
        <v>2829175.5</v>
      </c>
      <c r="J33">
        <v>1</v>
      </c>
      <c r="K33">
        <v>0</v>
      </c>
    </row>
    <row r="34" spans="1:11" x14ac:dyDescent="0.3">
      <c r="A34">
        <v>2024</v>
      </c>
      <c r="B34">
        <v>1</v>
      </c>
      <c r="C34" t="str">
        <f t="shared" si="0"/>
        <v>2024Q1</v>
      </c>
      <c r="D34" s="1">
        <f>+EOMONTH(DATE(A34,3,1),0)</f>
        <v>45382</v>
      </c>
      <c r="E34" s="4">
        <f>+SUMIFS(Monthly!$D$2:$D$109,Monthly!$J$2:$J$109,Quarterly!D34)</f>
        <v>2397374</v>
      </c>
      <c r="F34" s="3">
        <f>+AVERAGEIFS(Monthly!$E$2:$E$109,Monthly!$J$2:$J$109,Quarterly!D34)</f>
        <v>112.33333333333333</v>
      </c>
      <c r="G34" s="3">
        <f>+AVERAGEIFS(Monthly!$F$2:$F$109,Monthly!$J$2:$J$109,Quarterly!D34)</f>
        <v>123.86</v>
      </c>
      <c r="H34" s="3">
        <f>+AVERAGEIFS(Monthly!$G$2:$G$109,Monthly!$J$2:$J$109,Quarterly!D34)</f>
        <v>7.9066666666666663</v>
      </c>
      <c r="I34" s="2">
        <v>2836886.2</v>
      </c>
      <c r="J34">
        <v>1</v>
      </c>
      <c r="K34">
        <v>0</v>
      </c>
    </row>
    <row r="35" spans="1:11" x14ac:dyDescent="0.3">
      <c r="A35">
        <v>2024</v>
      </c>
      <c r="B35">
        <v>2</v>
      </c>
      <c r="C35" t="str">
        <f t="shared" si="0"/>
        <v>2024Q2</v>
      </c>
      <c r="D35" s="1">
        <f>+EOMONTH(DATE(A35,6,1),0)</f>
        <v>45473</v>
      </c>
      <c r="E35" s="4">
        <f>+SUMIFS(Monthly!$D$2:$D$109,Monthly!$J$2:$J$109,Quarterly!D35)</f>
        <v>2498063</v>
      </c>
      <c r="F35" s="3">
        <f>+AVERAGEIFS(Monthly!$E$2:$E$109,Monthly!$J$2:$J$109,Quarterly!D35)</f>
        <v>109.73333333333333</v>
      </c>
      <c r="G35" s="3">
        <f>+AVERAGEIFS(Monthly!$F$2:$F$109,Monthly!$J$2:$J$109,Quarterly!D35)</f>
        <v>123.56</v>
      </c>
      <c r="H35" s="3">
        <f>+AVERAGEIFS(Monthly!$G$2:$G$109,Monthly!$J$2:$J$109,Quarterly!D35)</f>
        <v>7.8233333333333341</v>
      </c>
      <c r="I35" s="2">
        <v>2843366.6</v>
      </c>
      <c r="J35">
        <v>1</v>
      </c>
      <c r="K35">
        <v>0</v>
      </c>
    </row>
    <row r="36" spans="1:11" x14ac:dyDescent="0.3">
      <c r="A36">
        <v>2024</v>
      </c>
      <c r="B36">
        <v>3</v>
      </c>
      <c r="C36" t="str">
        <f t="shared" si="0"/>
        <v>2024Q3</v>
      </c>
      <c r="D36" s="1">
        <f>+EOMONTH(DATE(A36,9,1),0)</f>
        <v>45565</v>
      </c>
      <c r="E36" s="4">
        <f>+SUMIFS(Monthly!$D$2:$D$109,Monthly!$J$2:$J$109,Quarterly!D36)</f>
        <v>1958654</v>
      </c>
      <c r="F36" s="3">
        <f>+AVERAGEIFS(Monthly!$E$2:$E$109,Monthly!$J$2:$J$109,Quarterly!D36)</f>
        <v>97.466666666666654</v>
      </c>
      <c r="G36" s="3">
        <f>+AVERAGEIFS(Monthly!$F$2:$F$109,Monthly!$J$2:$J$109,Quarterly!D36)</f>
        <v>123.82000000000001</v>
      </c>
      <c r="H36" s="3">
        <f>+AVERAGEIFS(Monthly!$G$2:$G$109,Monthly!$J$2:$J$109,Quarterly!D36)</f>
        <v>7.78</v>
      </c>
      <c r="I36" s="2">
        <v>2856144.3</v>
      </c>
      <c r="J36">
        <v>1</v>
      </c>
      <c r="K36">
        <v>0</v>
      </c>
    </row>
    <row r="37" spans="1:11" x14ac:dyDescent="0.3">
      <c r="A37">
        <v>2024</v>
      </c>
      <c r="B37">
        <v>4</v>
      </c>
      <c r="C37" t="str">
        <f t="shared" si="0"/>
        <v>2024Q4</v>
      </c>
      <c r="D37" s="1">
        <f>+EOMONTH(DATE(A37,12,1),0)</f>
        <v>45657</v>
      </c>
      <c r="E37" s="4">
        <f>+SUMIFS(Monthly!$D$2:$D$109,Monthly!$J$2:$J$109,Quarterly!D37)</f>
        <v>2230449</v>
      </c>
      <c r="F37" s="3">
        <f>+AVERAGEIFS(Monthly!$E$2:$E$109,Monthly!$J$2:$J$109,Quarterly!D37)</f>
        <v>101.5</v>
      </c>
      <c r="G37" s="3">
        <f>+AVERAGEIFS(Monthly!$F$2:$F$109,Monthly!$J$2:$J$109,Quarterly!D37)</f>
        <v>124.10333333333335</v>
      </c>
      <c r="H37" s="3">
        <f>+AVERAGEIFS(Monthly!$G$2:$G$109,Monthly!$J$2:$J$109,Quarterly!D37)</f>
        <v>7.55</v>
      </c>
      <c r="I37" s="2">
        <v>2867125.1</v>
      </c>
      <c r="J37">
        <v>1</v>
      </c>
      <c r="K37">
        <v>0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Monthly</vt:lpstr>
      <vt:lpstr>Quarterly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Miller Guevara</dc:creator>
  <cp:lastModifiedBy>Miller Guevara</cp:lastModifiedBy>
  <dcterms:created xsi:type="dcterms:W3CDTF">2025-12-28T15:09:36Z</dcterms:created>
  <dcterms:modified xsi:type="dcterms:W3CDTF">2025-12-28T17:59:57Z</dcterms:modified>
</cp:coreProperties>
</file>